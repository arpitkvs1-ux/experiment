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StudentDetails" sheetId="1" r:id="rId5"/>
    <sheet state="visible" name="Tables" sheetId="2" r:id="rId6"/>
    <sheet state="visible" name="Dashboard" sheetId="3" r:id="rId7"/>
    <sheet state="visible" name="HOUSE" sheetId="4" r:id="rId8"/>
    <sheet state="visible" name="MONITORS" sheetId="5" r:id="rId9"/>
    <sheet state="visible" name="SEATING PLAN" sheetId="6" r:id="rId10"/>
    <sheet state="visible" name="assembly duties" sheetId="7" r:id="rId11"/>
  </sheets>
  <definedNames/>
  <calcPr/>
</workbook>
</file>

<file path=xl/sharedStrings.xml><?xml version="1.0" encoding="utf-8"?>
<sst xmlns="http://schemas.openxmlformats.org/spreadsheetml/2006/main" count="1128" uniqueCount="447">
  <si>
    <t>R.NO.</t>
  </si>
  <si>
    <t>Adm Year</t>
  </si>
  <si>
    <t>Admn No</t>
  </si>
  <si>
    <t>DOA</t>
  </si>
  <si>
    <t>Student Name</t>
  </si>
  <si>
    <t>house</t>
  </si>
  <si>
    <t>Date Of Birth</t>
  </si>
  <si>
    <t>Gender</t>
  </si>
  <si>
    <t>Category</t>
  </si>
  <si>
    <t>Admn Category</t>
  </si>
  <si>
    <t>Mothers Name</t>
  </si>
  <si>
    <t>Mobile No</t>
  </si>
  <si>
    <t>M OCCUPATION</t>
  </si>
  <si>
    <t>Fathers Name</t>
  </si>
  <si>
    <t>F OCCUPATION</t>
  </si>
  <si>
    <t>ADDRESS</t>
  </si>
  <si>
    <t>ADMISSION CLASS</t>
  </si>
  <si>
    <t>QUOTA</t>
  </si>
  <si>
    <t>BG</t>
  </si>
  <si>
    <t>Single Girl Child</t>
  </si>
  <si>
    <t>RTE</t>
  </si>
  <si>
    <t>Minority</t>
  </si>
  <si>
    <t>Email ID</t>
  </si>
  <si>
    <t>UBI ID</t>
  </si>
  <si>
    <t>Aadhar Card No</t>
  </si>
  <si>
    <t>APPAR ID</t>
  </si>
  <si>
    <t>PEN</t>
  </si>
  <si>
    <t>Reimbursement Claimed</t>
  </si>
  <si>
    <t>Total Quarterly Fee</t>
  </si>
  <si>
    <t>REMARK</t>
  </si>
  <si>
    <t>2020</t>
  </si>
  <si>
    <t>ALIA AKTAR</t>
  </si>
  <si>
    <t>Ashoka</t>
  </si>
  <si>
    <t>18/08/2014</t>
  </si>
  <si>
    <t>Girl</t>
  </si>
  <si>
    <t>General</t>
  </si>
  <si>
    <t>VI</t>
  </si>
  <si>
    <t>NAJNU BEGAM</t>
  </si>
  <si>
    <t>HOUSEWIFE</t>
  </si>
  <si>
    <t>AKBAR HOSSEN</t>
  </si>
  <si>
    <t>TRIPURA POLICE CONTRACTUAL</t>
  </si>
  <si>
    <t>RANIR BAZAR</t>
  </si>
  <si>
    <t>I</t>
  </si>
  <si>
    <t>SGC</t>
  </si>
  <si>
    <t>B+</t>
  </si>
  <si>
    <t>YES</t>
  </si>
  <si>
    <t xml:space="preserve"> </t>
  </si>
  <si>
    <t>Muslim</t>
  </si>
  <si>
    <t>begamnajnu823@gmail.com</t>
  </si>
  <si>
    <t>ANUSHA V</t>
  </si>
  <si>
    <t xml:space="preserve">Raman </t>
  </si>
  <si>
    <t>01/08/2014</t>
  </si>
  <si>
    <t>OBC(NCL)</t>
  </si>
  <si>
    <t>IV</t>
  </si>
  <si>
    <t>V. MANIKA</t>
  </si>
  <si>
    <t>9774747303</t>
  </si>
  <si>
    <t>K. VELMURUGAN</t>
  </si>
  <si>
    <t>TSR</t>
  </si>
  <si>
    <t>PASCHIM BARJALA JIRANIA</t>
  </si>
  <si>
    <t>AB+</t>
  </si>
  <si>
    <t>vmurugan19@gmail.com</t>
  </si>
  <si>
    <t>ANUSHREE BEHERA</t>
  </si>
  <si>
    <t>Tagore</t>
  </si>
  <si>
    <t>19/06/2013</t>
  </si>
  <si>
    <t>MINATI BEHERA</t>
  </si>
  <si>
    <t>ARUNA KUMAR BEHERA</t>
  </si>
  <si>
    <t>10 BN TSR</t>
  </si>
  <si>
    <t>minatib747@gmail.com</t>
  </si>
  <si>
    <t>NAME NEEDS TO BE UPDATED ON UDISE</t>
  </si>
  <si>
    <t>ARNESHA DEBNATH</t>
  </si>
  <si>
    <t>Subhash</t>
  </si>
  <si>
    <t>02/08/2013</t>
  </si>
  <si>
    <t>PRATIVA DEBNATH</t>
  </si>
  <si>
    <t>UTTAM DEBNATH</t>
  </si>
  <si>
    <t>PVT JOB</t>
  </si>
  <si>
    <t>O-</t>
  </si>
  <si>
    <t>uttam.rsu@gmail.com</t>
  </si>
  <si>
    <t>ARSALA KHATUN</t>
  </si>
  <si>
    <t>01/04/2015</t>
  </si>
  <si>
    <t>TAMANNA KHATUN</t>
  </si>
  <si>
    <t>MD ZAWED KHAN</t>
  </si>
  <si>
    <t>10 TSR</t>
  </si>
  <si>
    <t>B-</t>
  </si>
  <si>
    <t>zawed9402120902@gmail.com</t>
  </si>
  <si>
    <t>BAISHALI DEBNATH</t>
  </si>
  <si>
    <t>23/01/2014</t>
  </si>
  <si>
    <t>OBC(CL)</t>
  </si>
  <si>
    <t>II</t>
  </si>
  <si>
    <t>SUBHADRA DEBNATH</t>
  </si>
  <si>
    <t>BIJOY DEBNATH</t>
  </si>
  <si>
    <t>CRPF</t>
  </si>
  <si>
    <t>BAGMARA BIKRAM SEKERKOTE</t>
  </si>
  <si>
    <t>SAQ</t>
  </si>
  <si>
    <t>O+</t>
  </si>
  <si>
    <t>sdsubhadra123@gmail.com</t>
  </si>
  <si>
    <t>BIPASHA DEBNATH</t>
  </si>
  <si>
    <t>30/12/2014</t>
  </si>
  <si>
    <t>SONAI BISWAS DEBNATH</t>
  </si>
  <si>
    <t>9862290068</t>
  </si>
  <si>
    <t>STATE GOVT STORE KEEPER(BDO)</t>
  </si>
  <si>
    <t>BIPLAB DEBNATH</t>
  </si>
  <si>
    <t>SELF EMPLOYED</t>
  </si>
  <si>
    <t>OLD AGARTALA</t>
  </si>
  <si>
    <t>A+</t>
  </si>
  <si>
    <t>debnath1977@gmail.com</t>
  </si>
  <si>
    <t>CHANDRA DAS</t>
  </si>
  <si>
    <t>02/11/2014</t>
  </si>
  <si>
    <t>SC</t>
  </si>
  <si>
    <t>RUPALI DAS</t>
  </si>
  <si>
    <t>9862200422</t>
  </si>
  <si>
    <t>MADHU SUDHAN DAS</t>
  </si>
  <si>
    <t>BUSINESS</t>
  </si>
  <si>
    <t>NOABADI JIRANIA</t>
  </si>
  <si>
    <t>rupalidas32586@gmail.com</t>
  </si>
  <si>
    <t>JENISHA DEBBARMA</t>
  </si>
  <si>
    <t>14/10/2014</t>
  </si>
  <si>
    <t>ST</t>
  </si>
  <si>
    <t>SUBHA LAXMI DEBBARMA</t>
  </si>
  <si>
    <t>RAJENDRA DEBBARMA</t>
  </si>
  <si>
    <t>debbarmarajendra143000@gmail.com</t>
  </si>
  <si>
    <t>JIYA DEBBARMA</t>
  </si>
  <si>
    <t>27/03/2015</t>
  </si>
  <si>
    <t>MOUSUMI DEBBARMA</t>
  </si>
  <si>
    <t>8787343533</t>
  </si>
  <si>
    <t>BISWAMANI DEBBARMA</t>
  </si>
  <si>
    <t>INDIAN ARMY</t>
  </si>
  <si>
    <t>BHADRA MISHAP PARA</t>
  </si>
  <si>
    <t>bdbarmanbarman444@gmail.com</t>
  </si>
  <si>
    <t>JOYDIPA DAS</t>
  </si>
  <si>
    <t>08/07/2014</t>
  </si>
  <si>
    <t>JALI PAUL DAS</t>
  </si>
  <si>
    <t>7005059205</t>
  </si>
  <si>
    <t>PINTU DAS</t>
  </si>
  <si>
    <t>KOBRA PARA JIRANIA</t>
  </si>
  <si>
    <t>jalipaul1957@gmail.com</t>
  </si>
  <si>
    <t>MAITRI MAJUMDER</t>
  </si>
  <si>
    <t>16/08/2014</t>
  </si>
  <si>
    <t>MANDIRA KURI MAJUMDER</t>
  </si>
  <si>
    <t>8787558005</t>
  </si>
  <si>
    <t>MITHAN MAJUMDER</t>
  </si>
  <si>
    <t>RANIR KHAMAR</t>
  </si>
  <si>
    <t>majundermithan147@gmail.com</t>
  </si>
  <si>
    <t>NISHA BHOWMIK</t>
  </si>
  <si>
    <t>29/07/2014</t>
  </si>
  <si>
    <t>SWAPNA DAS (BHOWMIK)</t>
  </si>
  <si>
    <t>NIHAR BHOWMIK</t>
  </si>
  <si>
    <t>STATE GOVT</t>
  </si>
  <si>
    <t>KOBRA KHAMAR</t>
  </si>
  <si>
    <t>riyaabhowmik2005@gmail.com</t>
  </si>
  <si>
    <t>PALLABI DATTA</t>
  </si>
  <si>
    <t>07/09/2014</t>
  </si>
  <si>
    <t>RATIKA DEBBARMA DATTA</t>
  </si>
  <si>
    <t>8794587878</t>
  </si>
  <si>
    <t>TEACHER STATE GOVT</t>
  </si>
  <si>
    <t>PRABIR CHANDRA DATTA</t>
  </si>
  <si>
    <t>JIRANIA</t>
  </si>
  <si>
    <t>prppdatta197-@gmail.com</t>
  </si>
  <si>
    <t>PAYEL SANGMA</t>
  </si>
  <si>
    <t>27/02/2014</t>
  </si>
  <si>
    <t>SWAPNA DAS (SANGMA)</t>
  </si>
  <si>
    <t>9366495717</t>
  </si>
  <si>
    <t>PRANAB SANGMA</t>
  </si>
  <si>
    <t>7 BN TSR</t>
  </si>
  <si>
    <t>BHADRAMI SHIPARA JIRANIA</t>
  </si>
  <si>
    <t>NA</t>
  </si>
  <si>
    <t/>
  </si>
  <si>
    <t>DOB NEEDS TO BE UPDATED ON UDICE</t>
  </si>
  <si>
    <t>SANVI ROY</t>
  </si>
  <si>
    <t>14/12/2014</t>
  </si>
  <si>
    <t>MOU TAPADAR (ROY)</t>
  </si>
  <si>
    <t>9862764153</t>
  </si>
  <si>
    <t>BIPLAB ROY</t>
  </si>
  <si>
    <t>SSA (CONTRACTUAL)</t>
  </si>
  <si>
    <t>mou.tapadar@gmail.com</t>
  </si>
  <si>
    <t>2022</t>
  </si>
  <si>
    <t>SUPARNA DAS</t>
  </si>
  <si>
    <t>02/12/2013</t>
  </si>
  <si>
    <t>SOMA DAS</t>
  </si>
  <si>
    <t>KRISHNA DHAN DAS</t>
  </si>
  <si>
    <t>MAJLISHPUR RANIR BAZAR</t>
  </si>
  <si>
    <t>III</t>
  </si>
  <si>
    <t>kdas29556@gmail.com</t>
  </si>
  <si>
    <t>TANEESHA PANUA</t>
  </si>
  <si>
    <t>TAMASI MOYRA (PANUA)</t>
  </si>
  <si>
    <t>9862824663</t>
  </si>
  <si>
    <t>TEACHER</t>
  </si>
  <si>
    <t>RAJSEKHAR PANUA</t>
  </si>
  <si>
    <t>TEACHER NIT</t>
  </si>
  <si>
    <t>NIT CAMPUS</t>
  </si>
  <si>
    <t>rspanua@gmail.com</t>
  </si>
  <si>
    <t>TANHA AKTER</t>
  </si>
  <si>
    <t>09/08/2014</t>
  </si>
  <si>
    <t>RINA BEGAM</t>
  </si>
  <si>
    <t>8413879847</t>
  </si>
  <si>
    <t>ABDUL JABBAR MIAH</t>
  </si>
  <si>
    <t>VSSS(NITA CONTRACTUAL)</t>
  </si>
  <si>
    <t>jabbarmia2015@gmail.com</t>
  </si>
  <si>
    <t>ADRISH RAKSHIT</t>
  </si>
  <si>
    <t>04/06/2013</t>
  </si>
  <si>
    <t>Boy</t>
  </si>
  <si>
    <t>SUMITA RAKSHIT</t>
  </si>
  <si>
    <t>9436767282</t>
  </si>
  <si>
    <t>JAYANTA KUMAR RAKSHIT</t>
  </si>
  <si>
    <t>ASSISTANT PROFF IN NITA</t>
  </si>
  <si>
    <t>H4B/04/04</t>
  </si>
  <si>
    <t>jayantaraxit@gmail.com</t>
  </si>
  <si>
    <t>ADRISH</t>
  </si>
  <si>
    <t>2021</t>
  </si>
  <si>
    <t>907A</t>
  </si>
  <si>
    <t>ARNAV DEY</t>
  </si>
  <si>
    <t>07/12/2013</t>
  </si>
  <si>
    <t>MALLIKA DEBNATH (DEY)</t>
  </si>
  <si>
    <t>NAYAN DEY</t>
  </si>
  <si>
    <t>RANIRBAZAR</t>
  </si>
  <si>
    <t>VMC DISCRITISNARY QUOTA</t>
  </si>
  <si>
    <t>dnayan1986@gmail.com</t>
  </si>
  <si>
    <t>182206121000907A</t>
  </si>
  <si>
    <t>ATIF ALAM</t>
  </si>
  <si>
    <t>30/05/2013</t>
  </si>
  <si>
    <t>ISHRAT PERVEEN</t>
  </si>
  <si>
    <t>IMTIYAZ ALAM</t>
  </si>
  <si>
    <t>alamimtiyaz9862@gmail.com</t>
  </si>
  <si>
    <t>AYASH DEBBARMA</t>
  </si>
  <si>
    <t>01/11/2014</t>
  </si>
  <si>
    <t>RINA DEBBARMA</t>
  </si>
  <si>
    <t>9862774605</t>
  </si>
  <si>
    <t>SAMENDRA DEBBARMA</t>
  </si>
  <si>
    <t>debbarmasamendra212@gmail.com</t>
  </si>
  <si>
    <t>DEBAJYOTI RUDRAPAL</t>
  </si>
  <si>
    <t>25/02/2014</t>
  </si>
  <si>
    <t>SMITA DAS</t>
  </si>
  <si>
    <t>9856027328</t>
  </si>
  <si>
    <t>DWIJEN RUDRAPAL</t>
  </si>
  <si>
    <t>dwijen.rudrapal@gmail.com</t>
  </si>
  <si>
    <t>DEEP RAJ BHOWMIK</t>
  </si>
  <si>
    <t>22/06/2014</t>
  </si>
  <si>
    <t>REKHA MALAKAR</t>
  </si>
  <si>
    <t>9089570570</t>
  </si>
  <si>
    <t>LDC PWD</t>
  </si>
  <si>
    <t>PRADIP BHOWMIK</t>
  </si>
  <si>
    <t>KHAYERPUR</t>
  </si>
  <si>
    <t>pradipbhowmik1914@gmail.com</t>
  </si>
  <si>
    <t>EMAN HUSSEN</t>
  </si>
  <si>
    <t>20/10/2014</t>
  </si>
  <si>
    <t>FULAN KHATUN</t>
  </si>
  <si>
    <t>7629914573</t>
  </si>
  <si>
    <t>AMIR HUSSEN</t>
  </si>
  <si>
    <t>amirhussein283@gmail.com</t>
  </si>
  <si>
    <t>KHAKWCHANG DEBBARMA</t>
  </si>
  <si>
    <t>20/02/2014</t>
  </si>
  <si>
    <t>SANDHYA DEBBARMA</t>
  </si>
  <si>
    <t>AJIT DEBBARMA</t>
  </si>
  <si>
    <t>TRIPURA POLICE</t>
  </si>
  <si>
    <t>TELIAMURA</t>
  </si>
  <si>
    <t>bubutidebbarma@gmail.com</t>
  </si>
  <si>
    <t>KUSH GUPTA</t>
  </si>
  <si>
    <t>08/11/2014</t>
  </si>
  <si>
    <t>ANU KUMARI</t>
  </si>
  <si>
    <t>8837216620</t>
  </si>
  <si>
    <t>BIPIN KUMAR</t>
  </si>
  <si>
    <t>7 TSR JAMPUI JALA</t>
  </si>
  <si>
    <t>bipin2433@gmail.com</t>
  </si>
  <si>
    <t>MINTU KUMAR YADAV</t>
  </si>
  <si>
    <t>10/02/2015</t>
  </si>
  <si>
    <t>URMILA DEVI</t>
  </si>
  <si>
    <t>8787861037</t>
  </si>
  <si>
    <t>JOGENDRA NATH YADAV</t>
  </si>
  <si>
    <t>RAILWAY EMPLOYEE</t>
  </si>
  <si>
    <t>RAILWAY QUARTERS JIRANIA</t>
  </si>
  <si>
    <t>SAQ?</t>
  </si>
  <si>
    <t>jogendranathyadav913@gmail.com</t>
  </si>
  <si>
    <t>NAVDEEP SINGH</t>
  </si>
  <si>
    <t>20/03/2015</t>
  </si>
  <si>
    <t>GURNAM KAUR</t>
  </si>
  <si>
    <t>RAMAN KUMAR</t>
  </si>
  <si>
    <t>GOVT SERVICE TSR</t>
  </si>
  <si>
    <t>Sikh</t>
  </si>
  <si>
    <t>gurnam08121192@gmail.com</t>
  </si>
  <si>
    <t>2024</t>
  </si>
  <si>
    <t>NISHTALA VENKATA KAMESWARA VARA PRASAD</t>
  </si>
  <si>
    <t>20/02/2015</t>
  </si>
  <si>
    <t>NISHTALA A V S L S B DEVI</t>
  </si>
  <si>
    <t>8639481710</t>
  </si>
  <si>
    <t>NISHTALA VENKATA BHARAT</t>
  </si>
  <si>
    <t>NIT AGARTALA</t>
  </si>
  <si>
    <t>QTR NO G2/1 GANGA RESI. NITA</t>
  </si>
  <si>
    <t>V</t>
  </si>
  <si>
    <t>nishtaladevi94@gmail.com</t>
  </si>
  <si>
    <t>OMKAR DEBNATH</t>
  </si>
  <si>
    <t>16/12/2013</t>
  </si>
  <si>
    <t>NABANITA BHOWMIK DEBNATH</t>
  </si>
  <si>
    <t>MANILAL DEBNATH</t>
  </si>
  <si>
    <t>BIRENDRA NAGAR JIRANIA</t>
  </si>
  <si>
    <t>manianjan13@gmail.com</t>
  </si>
  <si>
    <t>PRITHI RAJ BHOWMIK</t>
  </si>
  <si>
    <t>RIK DEBNATH</t>
  </si>
  <si>
    <t>15/11/2013</t>
  </si>
  <si>
    <t>RAKHI DEBNATH</t>
  </si>
  <si>
    <t>9436484558</t>
  </si>
  <si>
    <t>RAJIB DEBNATH</t>
  </si>
  <si>
    <t>debnathrajib1787@gmail.com</t>
  </si>
  <si>
    <t>2023</t>
  </si>
  <si>
    <t>ROHITH KRISHNA R</t>
  </si>
  <si>
    <t>19/07/2014</t>
  </si>
  <si>
    <t>DHANYA V</t>
  </si>
  <si>
    <t>9612927486</t>
  </si>
  <si>
    <t>RENJITH R</t>
  </si>
  <si>
    <t>JAMPUIJALA COLONY, SEPDHIYALA</t>
  </si>
  <si>
    <t>KVTC</t>
  </si>
  <si>
    <t>renjithrtsr@gmail.com</t>
  </si>
  <si>
    <t>2025</t>
  </si>
  <si>
    <t>ROHIT KUMAR</t>
  </si>
  <si>
    <t>SIKHA DEVI</t>
  </si>
  <si>
    <t>RAKESH KUMAR RAJBHAR</t>
  </si>
  <si>
    <t>QTR NO 7A JIRANIA RLY STATION</t>
  </si>
  <si>
    <t>SAURAV SINHA</t>
  </si>
  <si>
    <t>06/02/2014</t>
  </si>
  <si>
    <t>SHIBANI SINHA</t>
  </si>
  <si>
    <t>9862492405</t>
  </si>
  <si>
    <t>SUBRATA SINHA</t>
  </si>
  <si>
    <t>TSR JIRANIA</t>
  </si>
  <si>
    <t>sinhashibani12@gmail.com</t>
  </si>
  <si>
    <t>SHANTANU DAS</t>
  </si>
  <si>
    <t>21/05/2014</t>
  </si>
  <si>
    <t>MANIDIPA DAS</t>
  </si>
  <si>
    <t>9862437107</t>
  </si>
  <si>
    <t>SN COLONY JIRANIA</t>
  </si>
  <si>
    <t>pd3798@gmail.com</t>
  </si>
  <si>
    <t>SHARTHAKI RUDRA PAUL</t>
  </si>
  <si>
    <t>13/03/2014</t>
  </si>
  <si>
    <t>SWAPNA RUDRA PAUL</t>
  </si>
  <si>
    <t>DILIP RUDRA PAUL</t>
  </si>
  <si>
    <t>rudrapaulswapna01@gmail.com</t>
  </si>
  <si>
    <t>SOMYANSHU SAHOO</t>
  </si>
  <si>
    <t>26/10/2013</t>
  </si>
  <si>
    <t>MAMTA SAHOO</t>
  </si>
  <si>
    <t>6372632882</t>
  </si>
  <si>
    <t>SUDHANSU RANJAN SAHOO</t>
  </si>
  <si>
    <t>sahoosudhansu484@gmail.com</t>
  </si>
  <si>
    <t>SUDIP ROY</t>
  </si>
  <si>
    <t>09/05/2014</t>
  </si>
  <si>
    <t>MAMPI ROY</t>
  </si>
  <si>
    <t>SUBAL ROY</t>
  </si>
  <si>
    <t>sudiproy90891@gmail.com</t>
  </si>
  <si>
    <t>SUMANTA DEBBARMA</t>
  </si>
  <si>
    <t>24/07/2014</t>
  </si>
  <si>
    <t>SUSHMITA DEBBARMA</t>
  </si>
  <si>
    <t>ICDS</t>
  </si>
  <si>
    <t>SUSHANTA DEBBARMA</t>
  </si>
  <si>
    <t>AGRICULTURE</t>
  </si>
  <si>
    <t>KALI SHANKAR PARA</t>
  </si>
  <si>
    <t>UPDATED ON UBI PORTAL ON 18/03/2026</t>
  </si>
  <si>
    <t>Social Category wise Enrollment</t>
  </si>
  <si>
    <t>Grand Total</t>
  </si>
  <si>
    <t>OBC</t>
  </si>
  <si>
    <t xml:space="preserve">  OBC(CL)</t>
  </si>
  <si>
    <t xml:space="preserve">  OBC(NCL)</t>
  </si>
  <si>
    <t>Admission category wise Enrollment</t>
  </si>
  <si>
    <t>Monthly Enrollment Data</t>
  </si>
  <si>
    <t>CLASS</t>
  </si>
  <si>
    <t>BOYS</t>
  </si>
  <si>
    <t>GIRLS</t>
  </si>
  <si>
    <t>TOTAL</t>
  </si>
  <si>
    <t>OBC 
(CL)</t>
  </si>
  <si>
    <t>OBC
(NCL)</t>
  </si>
  <si>
    <t>GEN</t>
  </si>
  <si>
    <t>CAT I</t>
  </si>
  <si>
    <t>CAT II</t>
  </si>
  <si>
    <t>CAT III</t>
  </si>
  <si>
    <t>CAT IV</t>
  </si>
  <si>
    <t>CAT V</t>
  </si>
  <si>
    <t>CAT VI</t>
  </si>
  <si>
    <t>Classwise Difference</t>
  </si>
  <si>
    <t>Social Category Difference</t>
  </si>
  <si>
    <t>CWSN</t>
  </si>
  <si>
    <t>Type of Disability</t>
  </si>
  <si>
    <t>BPL</t>
  </si>
  <si>
    <t>Christian</t>
  </si>
  <si>
    <t>Budhhist</t>
  </si>
  <si>
    <t>Jain</t>
  </si>
  <si>
    <t>Parsis</t>
  </si>
  <si>
    <t>MUSLIM</t>
  </si>
  <si>
    <t>Hindu</t>
  </si>
  <si>
    <r>
      <rPr>
        <rFont val="Calibri"/>
        <b/>
        <color theme="1"/>
        <sz val="11.0"/>
      </rPr>
      <t xml:space="preserve">TOTAL 
</t>
    </r>
    <r>
      <rPr>
        <rFont val="Calibri"/>
        <b/>
        <color theme="1"/>
        <sz val="5.0"/>
      </rPr>
      <t>(muslim will automatically added)</t>
    </r>
  </si>
  <si>
    <t>B</t>
  </si>
  <si>
    <t>G</t>
  </si>
  <si>
    <t>Total</t>
  </si>
  <si>
    <t>T</t>
  </si>
  <si>
    <t>Tot</t>
  </si>
  <si>
    <t>KENDRIYA VIDYALAYA NIT AGARTALA</t>
  </si>
  <si>
    <t>CLASS VI (2025-26)</t>
  </si>
  <si>
    <t>ASHOKA HOUSE</t>
  </si>
  <si>
    <t>SUBHASH HOUSE</t>
  </si>
  <si>
    <t>NVK VARA PRASAD</t>
  </si>
  <si>
    <t>TAGORE HOUSE</t>
  </si>
  <si>
    <t>RAMAN HOUSE</t>
  </si>
  <si>
    <t>Sitting Plan For Dates 1 to 8 of Every  Month</t>
  </si>
  <si>
    <t>ROW 1</t>
  </si>
  <si>
    <t>ROW 2</t>
  </si>
  <si>
    <t>ROW 3</t>
  </si>
  <si>
    <t>ROW 4</t>
  </si>
  <si>
    <t>Sitting Plan For Dates 9 to 16 of Every  Month</t>
  </si>
  <si>
    <t>Sitting Plan For Dates 17 to 23 of Every  Month</t>
  </si>
  <si>
    <t>Sitting Plan For Dates 24 to 30/31 of Every Month</t>
  </si>
  <si>
    <t>Kendriya Vidyalaya NIT Agartala</t>
  </si>
  <si>
    <t>Class VI</t>
  </si>
  <si>
    <t>Assembly Duties (20/10/2025 to 25/10/2025)</t>
  </si>
  <si>
    <t>Day</t>
  </si>
  <si>
    <t>Date</t>
  </si>
  <si>
    <t>Language</t>
  </si>
  <si>
    <t>Command</t>
  </si>
  <si>
    <t>Pledge</t>
  </si>
  <si>
    <t>Thought</t>
  </si>
  <si>
    <t>Word</t>
  </si>
  <si>
    <t>News</t>
  </si>
  <si>
    <t>Special Item</t>
  </si>
  <si>
    <t>Monday</t>
  </si>
  <si>
    <t>Hindi</t>
  </si>
  <si>
    <t>Holiday</t>
  </si>
  <si>
    <t>Tuesday</t>
  </si>
  <si>
    <t>Shantanu</t>
  </si>
  <si>
    <t>Atif</t>
  </si>
  <si>
    <t>Sharthaki</t>
  </si>
  <si>
    <t>Adrish</t>
  </si>
  <si>
    <t>Taneesha &amp; Bipasha</t>
  </si>
  <si>
    <t>Sanvi</t>
  </si>
  <si>
    <t>Wednesday</t>
  </si>
  <si>
    <t>English</t>
  </si>
  <si>
    <t>Thursday</t>
  </si>
  <si>
    <t>Debjyoti</t>
  </si>
  <si>
    <t>NVK Vara</t>
  </si>
  <si>
    <t>Anusha</t>
  </si>
  <si>
    <t>Rohit Kumar</t>
  </si>
  <si>
    <t>Bipasha &amp; Atif</t>
  </si>
  <si>
    <t>Rohit Krishna</t>
  </si>
  <si>
    <t>Friday</t>
  </si>
  <si>
    <t>Somyanshu</t>
  </si>
  <si>
    <t>Arnesha</t>
  </si>
  <si>
    <t>Taneesha &amp; Debjyoti</t>
  </si>
  <si>
    <t>Ayash</t>
  </si>
  <si>
    <t>Saturday</t>
  </si>
  <si>
    <t>Sanskrit</t>
  </si>
  <si>
    <t>Sumanta</t>
  </si>
  <si>
    <t>Taneesha</t>
  </si>
  <si>
    <t>Sudip Roy</t>
  </si>
  <si>
    <t>Kush &amp; Adrish</t>
  </si>
  <si>
    <t>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</si>
</sst>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Calibri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</font>
    <font>
      <b/>
      <color rgb="FFFFFFFF"/>
      <name val="Montserrat"/>
    </font>
    <font/>
    <font>
      <color theme="1"/>
      <name val="Roboto"/>
    </font>
    <font>
      <b/>
      <color rgb="FF000000"/>
      <name val="Montserrat"/>
    </font>
    <font>
      <color theme="1"/>
      <name val="Calibri"/>
      <scheme val="minor"/>
    </font>
    <font>
      <b/>
      <sz val="11.0"/>
      <color theme="1"/>
      <name val="Calibri"/>
    </font>
    <font>
      <b/>
      <sz val="9.0"/>
      <color rgb="FF38761D"/>
      <name val="Calibri"/>
    </font>
    <font>
      <b/>
      <sz val="9.0"/>
      <color theme="1"/>
      <name val="Calibri"/>
    </font>
    <font>
      <b/>
      <color theme="1"/>
      <name val="Arial"/>
    </font>
    <font>
      <b/>
      <sz val="11.0"/>
      <color rgb="FF38761D"/>
      <name val="Calibri"/>
    </font>
    <font>
      <b/>
      <sz val="12.0"/>
      <color theme="1"/>
      <name val="Inconsolata"/>
    </font>
    <font>
      <b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EBCD"/>
        <bgColor rgb="FFFFEB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19355C"/>
        <bgColor rgb="FF19355C"/>
      </patternFill>
    </fill>
    <fill>
      <patternFill patternType="solid">
        <fgColor rgb="FFF7F9FA"/>
        <bgColor rgb="FFF7F9FA"/>
      </patternFill>
    </fill>
    <fill>
      <patternFill patternType="solid">
        <fgColor rgb="FFDDE6EC"/>
        <bgColor rgb="FFDDE6EC"/>
      </patternFill>
    </fill>
    <fill>
      <patternFill patternType="solid">
        <fgColor rgb="FFF7F8F9"/>
        <bgColor rgb="FFF7F8F9"/>
      </patternFill>
    </fill>
    <fill>
      <patternFill patternType="solid">
        <fgColor rgb="FFDCE5EC"/>
        <bgColor rgb="FFDCE5E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7F7F7F"/>
        <bgColor rgb="FF7F7F7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top" wrapText="1"/>
    </xf>
    <xf borderId="2" fillId="2" fontId="1" numFmtId="0" xfId="0" applyAlignment="1" applyBorder="1" applyFont="1">
      <alignment horizontal="center" readingOrder="1" shrinkToFit="0" vertical="top" wrapText="1"/>
    </xf>
    <xf borderId="1" fillId="0" fontId="2" numFmtId="0" xfId="0" applyAlignment="1" applyBorder="1" applyFont="1">
      <alignment horizontal="left" readingOrder="1" vertical="top"/>
    </xf>
    <xf borderId="1" fillId="0" fontId="2" numFmtId="14" xfId="0" applyAlignment="1" applyBorder="1" applyFont="1" applyNumberFormat="1">
      <alignment horizontal="left" readingOrder="1" vertical="top"/>
    </xf>
    <xf borderId="3" fillId="0" fontId="2" numFmtId="0" xfId="0" applyAlignment="1" applyBorder="1" applyFont="1">
      <alignment horizontal="left" readingOrder="1" vertical="top"/>
    </xf>
    <xf borderId="1" fillId="3" fontId="2" numFmtId="0" xfId="0" applyAlignment="1" applyBorder="1" applyFill="1" applyFont="1">
      <alignment horizontal="left" readingOrder="1" vertical="top"/>
    </xf>
    <xf borderId="1" fillId="0" fontId="2" numFmtId="1" xfId="0" applyAlignment="1" applyBorder="1" applyFont="1" applyNumberFormat="1">
      <alignment horizontal="left" readingOrder="1" vertical="top"/>
    </xf>
    <xf borderId="4" fillId="0" fontId="2" numFmtId="1" xfId="0" applyAlignment="1" applyBorder="1" applyFont="1" applyNumberFormat="1">
      <alignment horizontal="left" readingOrder="1" vertical="top"/>
    </xf>
    <xf borderId="1" fillId="0" fontId="2" numFmtId="0" xfId="0" applyAlignment="1" applyBorder="1" applyFont="1">
      <alignment horizontal="right" readingOrder="1" vertical="top"/>
    </xf>
    <xf borderId="1" fillId="0" fontId="3" numFmtId="0" xfId="0" applyBorder="1" applyFont="1"/>
    <xf borderId="1" fillId="4" fontId="2" numFmtId="0" xfId="0" applyAlignment="1" applyBorder="1" applyFill="1" applyFont="1">
      <alignment horizontal="left" readingOrder="1" vertical="top"/>
    </xf>
    <xf borderId="3" fillId="0" fontId="2" numFmtId="0" xfId="0" applyAlignment="1" applyBorder="1" applyFont="1">
      <alignment horizontal="left" readingOrder="1" vertical="top"/>
    </xf>
    <xf borderId="1" fillId="0" fontId="2" numFmtId="14" xfId="0" applyAlignment="1" applyBorder="1" applyFont="1" applyNumberFormat="1">
      <alignment horizontal="right" readingOrder="1" vertical="top"/>
    </xf>
    <xf borderId="3" fillId="5" fontId="2" numFmtId="0" xfId="0" applyAlignment="1" applyBorder="1" applyFill="1" applyFont="1">
      <alignment horizontal="left" readingOrder="1" vertical="top"/>
    </xf>
    <xf borderId="1" fillId="0" fontId="4" numFmtId="0" xfId="0" applyAlignment="1" applyBorder="1" applyFont="1">
      <alignment horizontal="left" readingOrder="1" vertical="top"/>
    </xf>
    <xf borderId="1" fillId="3" fontId="2" numFmtId="0" xfId="0" applyAlignment="1" applyBorder="1" applyFont="1">
      <alignment horizontal="left" readingOrder="1" shrinkToFit="0" vertical="top" wrapText="1"/>
    </xf>
    <xf borderId="1" fillId="4" fontId="2" numFmtId="0" xfId="0" applyAlignment="1" applyBorder="1" applyFont="1">
      <alignment horizontal="left" readingOrder="1" shrinkToFit="0" vertical="top" wrapText="1"/>
    </xf>
    <xf borderId="1" fillId="3" fontId="2" numFmtId="14" xfId="0" applyAlignment="1" applyBorder="1" applyFont="1" applyNumberFormat="1">
      <alignment horizontal="left" readingOrder="1" vertical="top"/>
    </xf>
    <xf borderId="0" fillId="0" fontId="5" numFmtId="0" xfId="0" applyFont="1"/>
    <xf borderId="5" fillId="6" fontId="6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8" fillId="6" fontId="6" numFmtId="0" xfId="0" applyAlignment="1" applyBorder="1" applyFont="1">
      <alignment horizontal="left" readingOrder="0"/>
    </xf>
    <xf borderId="9" fillId="6" fontId="6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left" readingOrder="0"/>
    </xf>
    <xf borderId="0" fillId="0" fontId="8" numFmtId="0" xfId="0" applyAlignment="1" applyFont="1">
      <alignment horizontal="center"/>
    </xf>
    <xf borderId="12" fillId="0" fontId="8" numFmtId="0" xfId="0" applyAlignment="1" applyBorder="1" applyFont="1">
      <alignment horizontal="center"/>
    </xf>
    <xf borderId="11" fillId="7" fontId="8" numFmtId="0" xfId="0" applyAlignment="1" applyBorder="1" applyFill="1" applyFont="1">
      <alignment horizontal="left" readingOrder="0"/>
    </xf>
    <xf borderId="0" fillId="7" fontId="8" numFmtId="0" xfId="0" applyAlignment="1" applyFont="1">
      <alignment horizontal="center"/>
    </xf>
    <xf borderId="12" fillId="7" fontId="8" numFmtId="0" xfId="0" applyAlignment="1" applyBorder="1" applyFont="1">
      <alignment horizontal="center"/>
    </xf>
    <xf borderId="4" fillId="8" fontId="9" numFmtId="0" xfId="0" applyAlignment="1" applyBorder="1" applyFill="1" applyFont="1">
      <alignment horizontal="left" readingOrder="0"/>
    </xf>
    <xf borderId="13" fillId="8" fontId="9" numFmtId="0" xfId="0" applyAlignment="1" applyBorder="1" applyFont="1">
      <alignment horizontal="center"/>
    </xf>
    <xf borderId="3" fillId="8" fontId="9" numFmtId="0" xfId="0" applyAlignment="1" applyBorder="1" applyFont="1">
      <alignment horizontal="center"/>
    </xf>
    <xf borderId="5" fillId="6" fontId="6" numFmtId="0" xfId="0" applyAlignment="1" applyBorder="1" applyFont="1">
      <alignment horizontal="center" readingOrder="0"/>
    </xf>
    <xf borderId="11" fillId="9" fontId="8" numFmtId="0" xfId="0" applyAlignment="1" applyBorder="1" applyFill="1" applyFont="1">
      <alignment horizontal="left" readingOrder="0"/>
    </xf>
    <xf borderId="0" fillId="9" fontId="8" numFmtId="0" xfId="0" applyAlignment="1" applyFont="1">
      <alignment horizontal="center"/>
    </xf>
    <xf borderId="12" fillId="9" fontId="8" numFmtId="0" xfId="0" applyAlignment="1" applyBorder="1" applyFont="1">
      <alignment horizontal="center"/>
    </xf>
    <xf borderId="4" fillId="10" fontId="9" numFmtId="0" xfId="0" applyAlignment="1" applyBorder="1" applyFill="1" applyFont="1">
      <alignment horizontal="left" readingOrder="0"/>
    </xf>
    <xf borderId="13" fillId="10" fontId="9" numFmtId="0" xfId="0" applyAlignment="1" applyBorder="1" applyFont="1">
      <alignment horizontal="center"/>
    </xf>
    <xf borderId="3" fillId="10" fontId="9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3" fillId="0" fontId="7" numFmtId="0" xfId="0" applyBorder="1" applyFont="1"/>
    <xf borderId="13" fillId="0" fontId="7" numFmtId="0" xfId="0" applyBorder="1" applyFont="1"/>
    <xf borderId="4" fillId="11" fontId="11" numFmtId="0" xfId="0" applyAlignment="1" applyBorder="1" applyFill="1" applyFont="1">
      <alignment horizontal="center"/>
    </xf>
    <xf borderId="4" fillId="11" fontId="12" numFmtId="0" xfId="0" applyAlignment="1" applyBorder="1" applyFont="1">
      <alignment horizontal="center" shrinkToFit="0" wrapText="1"/>
    </xf>
    <xf borderId="14" fillId="12" fontId="11" numFmtId="0" xfId="0" applyAlignment="1" applyBorder="1" applyFill="1" applyFont="1">
      <alignment horizontal="center" shrinkToFit="0" textRotation="255" wrapText="1"/>
    </xf>
    <xf borderId="1" fillId="0" fontId="11" numFmtId="0" xfId="0" applyAlignment="1" applyBorder="1" applyFont="1">
      <alignment horizontal="center" shrinkToFit="0" wrapText="1"/>
    </xf>
    <xf borderId="4" fillId="13" fontId="13" numFmtId="0" xfId="0" applyAlignment="1" applyBorder="1" applyFill="1" applyFont="1">
      <alignment horizontal="center" shrinkToFit="0" wrapText="1"/>
    </xf>
    <xf borderId="4" fillId="13" fontId="11" numFmtId="0" xfId="0" applyAlignment="1" applyBorder="1" applyFont="1">
      <alignment horizontal="center" shrinkToFit="0" wrapText="1"/>
    </xf>
    <xf borderId="4" fillId="3" fontId="1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1" fillId="0" fontId="14" numFmtId="0" xfId="0" applyAlignment="1" applyBorder="1" applyFont="1">
      <alignment horizontal="center"/>
    </xf>
    <xf borderId="1" fillId="0" fontId="5" numFmtId="0" xfId="0" applyBorder="1" applyFont="1"/>
    <xf borderId="1" fillId="11" fontId="11" numFmtId="0" xfId="0" applyAlignment="1" applyBorder="1" applyFont="1">
      <alignment horizontal="center"/>
    </xf>
    <xf borderId="1" fillId="11" fontId="14" numFmtId="0" xfId="0" applyAlignment="1" applyBorder="1" applyFont="1">
      <alignment horizontal="center"/>
    </xf>
    <xf borderId="1" fillId="11" fontId="15" numFmtId="0" xfId="0" applyAlignment="1" applyBorder="1" applyFont="1">
      <alignment horizontal="center" shrinkToFit="0" textRotation="255" wrapText="1"/>
    </xf>
    <xf borderId="15" fillId="0" fontId="7" numFmtId="0" xfId="0" applyBorder="1" applyFont="1"/>
    <xf borderId="1" fillId="13" fontId="11" numFmtId="0" xfId="0" applyAlignment="1" applyBorder="1" applyFont="1">
      <alignment horizontal="center"/>
    </xf>
    <xf borderId="1" fillId="3" fontId="11" numFmtId="0" xfId="0" applyAlignment="1" applyBorder="1" applyFont="1">
      <alignment horizontal="center"/>
    </xf>
    <xf borderId="1" fillId="3" fontId="16" numFmtId="0" xfId="0" applyAlignment="1" applyBorder="1" applyFont="1">
      <alignment horizontal="center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0" fillId="0" fontId="17" numFmtId="0" xfId="0" applyFont="1"/>
    <xf borderId="0" fillId="0" fontId="18" numFmtId="0" xfId="0" applyAlignment="1" applyFont="1">
      <alignment horizontal="center"/>
    </xf>
    <xf borderId="16" fillId="0" fontId="11" numFmtId="0" xfId="0" applyAlignment="1" applyBorder="1" applyFont="1">
      <alignment horizontal="center"/>
    </xf>
    <xf borderId="17" fillId="0" fontId="7" numFmtId="0" xfId="0" applyBorder="1" applyFont="1"/>
    <xf borderId="18" fillId="0" fontId="1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11" numFmtId="0" xfId="0" applyAlignment="1" applyBorder="1" applyFont="1">
      <alignment horizontal="center"/>
    </xf>
    <xf borderId="26" fillId="0" fontId="7" numFmtId="0" xfId="0" applyBorder="1" applyFont="1"/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4" fontId="3" numFmtId="0" xfId="0" applyAlignment="1" applyBorder="1" applyFont="1">
      <alignment horizontal="center" vertical="center"/>
    </xf>
    <xf borderId="24" fillId="4" fontId="3" numFmtId="0" xfId="0" applyAlignment="1" applyBorder="1" applyFont="1">
      <alignment horizontal="center" vertical="center"/>
    </xf>
    <xf borderId="27" fillId="4" fontId="3" numFmtId="0" xfId="0" applyAlignment="1" applyBorder="1" applyFont="1">
      <alignment horizontal="center" vertical="center"/>
    </xf>
    <xf borderId="27" fillId="4" fontId="3" numFmtId="0" xfId="0" applyBorder="1" applyFont="1"/>
    <xf borderId="1" fillId="0" fontId="18" numFmtId="0" xfId="0" applyBorder="1" applyFont="1"/>
    <xf borderId="1" fillId="0" fontId="18" numFmtId="14" xfId="0" applyBorder="1" applyFont="1" applyNumberFormat="1"/>
    <xf borderId="4" fillId="14" fontId="19" numFmtId="0" xfId="0" applyAlignment="1" applyBorder="1" applyFill="1" applyFont="1">
      <alignment horizontal="center"/>
    </xf>
    <xf borderId="1" fillId="0" fontId="19" numFmtId="0" xfId="0" applyBorder="1" applyFont="1"/>
    <xf quotePrefix="1" borderId="1" fillId="0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4</xdr:row>
      <xdr:rowOff>161925</xdr:rowOff>
    </xdr:from>
    <xdr:ext cx="3200400" cy="1466850"/>
    <xdr:sp>
      <xdr:nvSpPr>
        <xdr:cNvPr id="3" name="Shape 3"/>
        <xdr:cNvSpPr/>
      </xdr:nvSpPr>
      <xdr:spPr>
        <a:xfrm>
          <a:off x="1687225" y="756700"/>
          <a:ext cx="3180300" cy="14523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Launch Dashboard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5.14"/>
    <col customWidth="1" min="3" max="3" width="7.43"/>
    <col customWidth="1" min="4" max="4" width="9.29"/>
    <col customWidth="1" min="5" max="6" width="21.0"/>
    <col customWidth="1" min="7" max="7" width="10.71"/>
    <col customWidth="1" min="8" max="8" width="6.86"/>
    <col customWidth="1" min="9" max="9" width="8.14"/>
    <col customWidth="1" min="10" max="10" width="6.43"/>
    <col customWidth="1" min="11" max="11" width="23.71"/>
    <col customWidth="1" min="12" max="13" width="27.71"/>
    <col customWidth="1" min="14" max="14" width="22.86"/>
    <col customWidth="1" min="15" max="15" width="26.14"/>
    <col customWidth="1" min="16" max="16" width="27.57"/>
    <col customWidth="1" min="17" max="18" width="23.71"/>
    <col customWidth="1" min="19" max="20" width="5.86"/>
    <col customWidth="1" min="21" max="21" width="4.0"/>
    <col customWidth="1" min="22" max="22" width="7.43"/>
    <col customWidth="1" min="23" max="23" width="27.57"/>
    <col customWidth="1" min="24" max="25" width="15.29"/>
    <col customWidth="1" min="26" max="26" width="13.14"/>
    <col customWidth="1" min="27" max="27" width="12.29"/>
    <col customWidth="1" min="28" max="28" width="7.71"/>
    <col customWidth="1" min="29" max="29" width="11.57"/>
    <col customWidth="1" min="30" max="30" width="0.14"/>
    <col customWidth="1" min="31" max="31" width="3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E1" s="1" t="s">
        <v>29</v>
      </c>
    </row>
    <row r="2">
      <c r="A2" s="3">
        <v>1.0</v>
      </c>
      <c r="B2" s="3" t="s">
        <v>30</v>
      </c>
      <c r="C2" s="3">
        <v>823.0</v>
      </c>
      <c r="D2" s="4">
        <v>44079.0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5" t="s">
        <v>36</v>
      </c>
      <c r="K2" s="3" t="s">
        <v>37</v>
      </c>
      <c r="L2" s="6">
        <v>8.415912652E9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7">
        <v>1.82206120000823E14</v>
      </c>
      <c r="Y2" s="8">
        <v>9.09487193316E11</v>
      </c>
      <c r="Z2" s="8">
        <v>1.65294266279E11</v>
      </c>
      <c r="AA2" s="8">
        <v>2.191399863E10</v>
      </c>
      <c r="AB2" s="3" t="s">
        <v>46</v>
      </c>
      <c r="AC2" s="9">
        <v>0.0</v>
      </c>
      <c r="AE2" s="10"/>
    </row>
    <row r="3">
      <c r="A3" s="3">
        <v>2.0</v>
      </c>
      <c r="B3" s="3" t="s">
        <v>30</v>
      </c>
      <c r="C3" s="3">
        <v>791.0</v>
      </c>
      <c r="D3" s="4">
        <v>44057.0</v>
      </c>
      <c r="E3" s="3" t="s">
        <v>49</v>
      </c>
      <c r="F3" s="3" t="s">
        <v>50</v>
      </c>
      <c r="G3" s="3" t="s">
        <v>51</v>
      </c>
      <c r="H3" s="3" t="s">
        <v>34</v>
      </c>
      <c r="I3" s="6" t="s">
        <v>52</v>
      </c>
      <c r="J3" s="5" t="s">
        <v>53</v>
      </c>
      <c r="K3" s="3" t="s">
        <v>54</v>
      </c>
      <c r="L3" s="3" t="s">
        <v>55</v>
      </c>
      <c r="M3" s="3" t="s">
        <v>38</v>
      </c>
      <c r="N3" s="3" t="s">
        <v>56</v>
      </c>
      <c r="O3" s="3" t="s">
        <v>57</v>
      </c>
      <c r="P3" s="3" t="s">
        <v>58</v>
      </c>
      <c r="Q3" s="3" t="s">
        <v>42</v>
      </c>
      <c r="R3" s="3" t="s">
        <v>20</v>
      </c>
      <c r="S3" s="3" t="s">
        <v>59</v>
      </c>
      <c r="T3" s="3" t="s">
        <v>46</v>
      </c>
      <c r="U3" s="3" t="s">
        <v>45</v>
      </c>
      <c r="V3" s="3" t="s">
        <v>46</v>
      </c>
      <c r="W3" s="3" t="s">
        <v>60</v>
      </c>
      <c r="X3" s="7">
        <v>1.82206120000791E14</v>
      </c>
      <c r="Y3" s="8">
        <v>9.48124324792E11</v>
      </c>
      <c r="Z3" s="8">
        <v>4.56889587223E11</v>
      </c>
      <c r="AA3" s="8">
        <v>2.2248657527E10</v>
      </c>
      <c r="AB3" s="3" t="s">
        <v>46</v>
      </c>
      <c r="AC3" s="9">
        <v>0.0</v>
      </c>
      <c r="AE3" s="10"/>
    </row>
    <row r="4">
      <c r="A4" s="3">
        <v>3.0</v>
      </c>
      <c r="B4" s="3" t="s">
        <v>30</v>
      </c>
      <c r="C4" s="3">
        <v>820.0</v>
      </c>
      <c r="D4" s="4">
        <v>44071.0</v>
      </c>
      <c r="E4" s="3" t="s">
        <v>61</v>
      </c>
      <c r="F4" s="3" t="s">
        <v>62</v>
      </c>
      <c r="G4" s="3" t="s">
        <v>63</v>
      </c>
      <c r="H4" s="3" t="s">
        <v>34</v>
      </c>
      <c r="I4" s="6" t="s">
        <v>52</v>
      </c>
      <c r="J4" s="5" t="s">
        <v>53</v>
      </c>
      <c r="K4" s="3" t="s">
        <v>64</v>
      </c>
      <c r="L4" s="6">
        <v>9.863212397E9</v>
      </c>
      <c r="M4" s="3" t="s">
        <v>38</v>
      </c>
      <c r="N4" s="3" t="s">
        <v>65</v>
      </c>
      <c r="O4" s="3" t="s">
        <v>57</v>
      </c>
      <c r="P4" s="3" t="s">
        <v>66</v>
      </c>
      <c r="Q4" s="3" t="s">
        <v>42</v>
      </c>
      <c r="R4" s="3"/>
      <c r="S4" s="3" t="s">
        <v>44</v>
      </c>
      <c r="T4" s="3" t="s">
        <v>46</v>
      </c>
      <c r="U4" s="3" t="s">
        <v>46</v>
      </c>
      <c r="V4" s="3" t="s">
        <v>46</v>
      </c>
      <c r="W4" s="3" t="s">
        <v>67</v>
      </c>
      <c r="X4" s="7">
        <v>1.8220612000082E14</v>
      </c>
      <c r="Y4" s="8">
        <v>3.05275447142E11</v>
      </c>
      <c r="Z4" s="8">
        <v>6.62701038915E11</v>
      </c>
      <c r="AA4" s="8">
        <v>2.1911964729E10</v>
      </c>
      <c r="AB4" s="3" t="s">
        <v>46</v>
      </c>
      <c r="AC4" s="9">
        <v>1800.0</v>
      </c>
      <c r="AE4" s="10" t="s">
        <v>68</v>
      </c>
    </row>
    <row r="5">
      <c r="A5" s="3">
        <v>4.0</v>
      </c>
      <c r="B5" s="3" t="s">
        <v>30</v>
      </c>
      <c r="C5" s="3">
        <v>813.0</v>
      </c>
      <c r="D5" s="4">
        <v>44069.0</v>
      </c>
      <c r="E5" s="3" t="s">
        <v>69</v>
      </c>
      <c r="F5" s="3" t="s">
        <v>70</v>
      </c>
      <c r="G5" s="3" t="s">
        <v>71</v>
      </c>
      <c r="H5" s="3" t="s">
        <v>34</v>
      </c>
      <c r="I5" s="6" t="s">
        <v>52</v>
      </c>
      <c r="J5" s="5" t="s">
        <v>36</v>
      </c>
      <c r="K5" s="3" t="s">
        <v>72</v>
      </c>
      <c r="L5" s="6">
        <v>9.089138932E9</v>
      </c>
      <c r="M5" s="3" t="s">
        <v>38</v>
      </c>
      <c r="N5" s="3" t="s">
        <v>73</v>
      </c>
      <c r="O5" s="3" t="s">
        <v>74</v>
      </c>
      <c r="P5" s="3" t="s">
        <v>41</v>
      </c>
      <c r="Q5" s="3" t="s">
        <v>42</v>
      </c>
      <c r="R5" s="3"/>
      <c r="S5" s="3" t="s">
        <v>75</v>
      </c>
      <c r="T5" s="3" t="s">
        <v>45</v>
      </c>
      <c r="U5" s="3" t="s">
        <v>46</v>
      </c>
      <c r="V5" s="3" t="s">
        <v>46</v>
      </c>
      <c r="W5" s="3" t="s">
        <v>76</v>
      </c>
      <c r="X5" s="7">
        <v>1.82206120000813E14</v>
      </c>
      <c r="Y5" s="8">
        <v>3.12353395012E11</v>
      </c>
      <c r="Z5" s="8">
        <v>5.83169840093E11</v>
      </c>
      <c r="AA5" s="8">
        <v>2.2253346358E10</v>
      </c>
      <c r="AB5" s="3" t="s">
        <v>46</v>
      </c>
      <c r="AC5" s="9">
        <v>1800.0</v>
      </c>
      <c r="AE5" s="10"/>
    </row>
    <row r="6">
      <c r="A6" s="3">
        <v>5.0</v>
      </c>
      <c r="B6" s="3" t="s">
        <v>30</v>
      </c>
      <c r="C6" s="3">
        <v>828.0</v>
      </c>
      <c r="D6" s="4">
        <v>44085.0</v>
      </c>
      <c r="E6" s="3" t="s">
        <v>77</v>
      </c>
      <c r="F6" s="3" t="s">
        <v>32</v>
      </c>
      <c r="G6" s="3" t="s">
        <v>78</v>
      </c>
      <c r="H6" s="3" t="s">
        <v>34</v>
      </c>
      <c r="I6" s="3" t="s">
        <v>35</v>
      </c>
      <c r="J6" s="5" t="s">
        <v>53</v>
      </c>
      <c r="K6" s="3" t="s">
        <v>79</v>
      </c>
      <c r="L6" s="6">
        <v>8.738867693E9</v>
      </c>
      <c r="M6" s="3" t="s">
        <v>38</v>
      </c>
      <c r="N6" s="6" t="s">
        <v>80</v>
      </c>
      <c r="O6" s="3" t="s">
        <v>81</v>
      </c>
      <c r="P6" s="3" t="s">
        <v>81</v>
      </c>
      <c r="Q6" s="3" t="s">
        <v>42</v>
      </c>
      <c r="R6" s="3"/>
      <c r="S6" s="3" t="s">
        <v>82</v>
      </c>
      <c r="T6" s="3" t="s">
        <v>46</v>
      </c>
      <c r="U6" s="3" t="s">
        <v>46</v>
      </c>
      <c r="V6" s="3" t="s">
        <v>47</v>
      </c>
      <c r="W6" s="3" t="s">
        <v>83</v>
      </c>
      <c r="X6" s="7">
        <v>1.82206120000828E14</v>
      </c>
      <c r="Y6" s="8">
        <v>7.22342112084E11</v>
      </c>
      <c r="Z6" s="8">
        <v>8.06896102557E11</v>
      </c>
      <c r="AA6" s="8">
        <v>2.2278174743E10</v>
      </c>
      <c r="AB6" s="3" t="s">
        <v>46</v>
      </c>
      <c r="AC6" s="9">
        <v>1800.0</v>
      </c>
      <c r="AE6" s="10"/>
    </row>
    <row r="7">
      <c r="A7" s="3">
        <v>6.0</v>
      </c>
      <c r="B7" s="3" t="s">
        <v>30</v>
      </c>
      <c r="C7" s="3">
        <v>795.0</v>
      </c>
      <c r="D7" s="4">
        <v>44061.0</v>
      </c>
      <c r="E7" s="3" t="s">
        <v>84</v>
      </c>
      <c r="F7" s="3" t="s">
        <v>50</v>
      </c>
      <c r="G7" s="3" t="s">
        <v>85</v>
      </c>
      <c r="H7" s="3" t="s">
        <v>34</v>
      </c>
      <c r="I7" s="6" t="s">
        <v>86</v>
      </c>
      <c r="J7" s="5" t="s">
        <v>87</v>
      </c>
      <c r="K7" s="3" t="s">
        <v>88</v>
      </c>
      <c r="L7" s="6">
        <v>6.909441754E9</v>
      </c>
      <c r="M7" s="3" t="s">
        <v>38</v>
      </c>
      <c r="N7" s="3" t="s">
        <v>89</v>
      </c>
      <c r="O7" s="3" t="s">
        <v>90</v>
      </c>
      <c r="P7" s="3" t="s">
        <v>91</v>
      </c>
      <c r="Q7" s="3" t="s">
        <v>42</v>
      </c>
      <c r="R7" s="3" t="s">
        <v>92</v>
      </c>
      <c r="S7" s="3" t="s">
        <v>93</v>
      </c>
      <c r="T7" s="3" t="s">
        <v>46</v>
      </c>
      <c r="U7" s="3" t="s">
        <v>46</v>
      </c>
      <c r="V7" s="3" t="s">
        <v>46</v>
      </c>
      <c r="W7" s="3" t="s">
        <v>94</v>
      </c>
      <c r="X7" s="7">
        <v>1.82206120000795E14</v>
      </c>
      <c r="Y7" s="8">
        <v>7.41215440017E11</v>
      </c>
      <c r="Z7" s="8">
        <v>8.57308359022E11</v>
      </c>
      <c r="AA7" s="8">
        <v>2.2061469809E10</v>
      </c>
      <c r="AB7" s="3" t="s">
        <v>45</v>
      </c>
      <c r="AC7" s="9">
        <v>1800.0</v>
      </c>
      <c r="AE7" s="10"/>
    </row>
    <row r="8">
      <c r="A8" s="3">
        <v>7.0</v>
      </c>
      <c r="B8" s="3" t="s">
        <v>30</v>
      </c>
      <c r="C8" s="3">
        <v>799.0</v>
      </c>
      <c r="D8" s="4">
        <v>44064.0</v>
      </c>
      <c r="E8" s="3" t="s">
        <v>95</v>
      </c>
      <c r="F8" s="3" t="s">
        <v>62</v>
      </c>
      <c r="G8" s="3" t="s">
        <v>96</v>
      </c>
      <c r="H8" s="3" t="s">
        <v>34</v>
      </c>
      <c r="I8" s="6" t="s">
        <v>52</v>
      </c>
      <c r="J8" s="5" t="s">
        <v>53</v>
      </c>
      <c r="K8" s="3" t="s">
        <v>97</v>
      </c>
      <c r="L8" s="3" t="s">
        <v>98</v>
      </c>
      <c r="M8" s="3" t="s">
        <v>99</v>
      </c>
      <c r="N8" s="3" t="s">
        <v>100</v>
      </c>
      <c r="O8" s="3" t="s">
        <v>101</v>
      </c>
      <c r="P8" s="3" t="s">
        <v>102</v>
      </c>
      <c r="Q8" s="3" t="s">
        <v>42</v>
      </c>
      <c r="R8" s="3"/>
      <c r="S8" s="3" t="s">
        <v>103</v>
      </c>
      <c r="T8" s="3" t="s">
        <v>45</v>
      </c>
      <c r="U8" s="3" t="s">
        <v>46</v>
      </c>
      <c r="V8" s="3" t="s">
        <v>46</v>
      </c>
      <c r="W8" s="3" t="s">
        <v>104</v>
      </c>
      <c r="X8" s="7">
        <v>1.82206120000799E14</v>
      </c>
      <c r="Y8" s="8">
        <v>5.67600460596E11</v>
      </c>
      <c r="Z8" s="8">
        <v>3.79252524935E11</v>
      </c>
      <c r="AA8" s="8">
        <v>2.2372954329E10</v>
      </c>
      <c r="AB8" s="3" t="s">
        <v>46</v>
      </c>
      <c r="AC8" s="9">
        <v>0.0</v>
      </c>
      <c r="AE8" s="10"/>
    </row>
    <row r="9">
      <c r="A9" s="3">
        <v>8.0</v>
      </c>
      <c r="B9" s="3" t="s">
        <v>30</v>
      </c>
      <c r="C9" s="3">
        <v>790.0</v>
      </c>
      <c r="D9" s="4">
        <v>44057.0</v>
      </c>
      <c r="E9" s="3" t="s">
        <v>105</v>
      </c>
      <c r="F9" s="3" t="s">
        <v>70</v>
      </c>
      <c r="G9" s="3" t="s">
        <v>106</v>
      </c>
      <c r="H9" s="3" t="s">
        <v>34</v>
      </c>
      <c r="I9" s="3" t="s">
        <v>107</v>
      </c>
      <c r="J9" s="5" t="s">
        <v>36</v>
      </c>
      <c r="K9" s="3" t="s">
        <v>108</v>
      </c>
      <c r="L9" s="3" t="s">
        <v>109</v>
      </c>
      <c r="M9" s="3" t="s">
        <v>38</v>
      </c>
      <c r="N9" s="6" t="s">
        <v>110</v>
      </c>
      <c r="O9" s="3" t="s">
        <v>111</v>
      </c>
      <c r="P9" s="3" t="s">
        <v>112</v>
      </c>
      <c r="Q9" s="3" t="s">
        <v>42</v>
      </c>
      <c r="R9" s="3" t="s">
        <v>20</v>
      </c>
      <c r="S9" s="3" t="s">
        <v>103</v>
      </c>
      <c r="T9" s="3" t="s">
        <v>46</v>
      </c>
      <c r="U9" s="3" t="s">
        <v>45</v>
      </c>
      <c r="V9" s="3" t="s">
        <v>46</v>
      </c>
      <c r="W9" s="3" t="s">
        <v>113</v>
      </c>
      <c r="X9" s="7">
        <v>1.8220612000079E14</v>
      </c>
      <c r="Y9" s="8">
        <v>4.42179783699E11</v>
      </c>
      <c r="Z9" s="8">
        <v>9.2617263922E11</v>
      </c>
      <c r="AA9" s="8">
        <v>2.2343135862E10</v>
      </c>
      <c r="AB9" s="3" t="s">
        <v>46</v>
      </c>
      <c r="AC9" s="9">
        <v>0.0</v>
      </c>
      <c r="AE9" s="10"/>
    </row>
    <row r="10">
      <c r="A10" s="3">
        <v>9.0</v>
      </c>
      <c r="B10" s="3" t="s">
        <v>30</v>
      </c>
      <c r="C10" s="3">
        <v>802.0</v>
      </c>
      <c r="D10" s="4">
        <v>44057.0</v>
      </c>
      <c r="E10" s="3" t="s">
        <v>114</v>
      </c>
      <c r="F10" s="3" t="s">
        <v>32</v>
      </c>
      <c r="G10" s="3" t="s">
        <v>115</v>
      </c>
      <c r="H10" s="3" t="s">
        <v>34</v>
      </c>
      <c r="I10" s="3" t="s">
        <v>116</v>
      </c>
      <c r="J10" s="5" t="s">
        <v>36</v>
      </c>
      <c r="K10" s="3" t="s">
        <v>117</v>
      </c>
      <c r="L10" s="6">
        <v>9.089468304E9</v>
      </c>
      <c r="M10" s="3" t="s">
        <v>38</v>
      </c>
      <c r="N10" s="3" t="s">
        <v>118</v>
      </c>
      <c r="O10" s="3" t="s">
        <v>111</v>
      </c>
      <c r="P10" s="3" t="s">
        <v>41</v>
      </c>
      <c r="Q10" s="3" t="s">
        <v>42</v>
      </c>
      <c r="R10" s="3" t="s">
        <v>20</v>
      </c>
      <c r="S10" s="3" t="s">
        <v>93</v>
      </c>
      <c r="T10" s="3" t="s">
        <v>46</v>
      </c>
      <c r="U10" s="3" t="s">
        <v>45</v>
      </c>
      <c r="V10" s="3" t="s">
        <v>46</v>
      </c>
      <c r="W10" s="3" t="s">
        <v>119</v>
      </c>
      <c r="X10" s="7">
        <v>1.82206120000802E14</v>
      </c>
      <c r="Y10" s="8">
        <v>4.22179205695E11</v>
      </c>
      <c r="Z10" s="8">
        <v>9.70357897795E11</v>
      </c>
      <c r="AA10" s="8">
        <v>2.1871834384E10</v>
      </c>
      <c r="AB10" s="3" t="s">
        <v>46</v>
      </c>
      <c r="AC10" s="9">
        <v>0.0</v>
      </c>
      <c r="AE10" s="10"/>
    </row>
    <row r="11">
      <c r="A11" s="3">
        <v>10.0</v>
      </c>
      <c r="B11" s="3" t="s">
        <v>30</v>
      </c>
      <c r="C11" s="3">
        <v>797.0</v>
      </c>
      <c r="D11" s="4">
        <v>44061.0</v>
      </c>
      <c r="E11" s="3" t="s">
        <v>120</v>
      </c>
      <c r="F11" s="3" t="s">
        <v>50</v>
      </c>
      <c r="G11" s="3" t="s">
        <v>121</v>
      </c>
      <c r="H11" s="3" t="s">
        <v>34</v>
      </c>
      <c r="I11" s="3" t="s">
        <v>116</v>
      </c>
      <c r="J11" s="5" t="s">
        <v>87</v>
      </c>
      <c r="K11" s="3" t="s">
        <v>122</v>
      </c>
      <c r="L11" s="3" t="s">
        <v>123</v>
      </c>
      <c r="M11" s="3" t="s">
        <v>38</v>
      </c>
      <c r="N11" s="3" t="s">
        <v>124</v>
      </c>
      <c r="O11" s="3" t="s">
        <v>125</v>
      </c>
      <c r="P11" s="3" t="s">
        <v>126</v>
      </c>
      <c r="Q11" s="3" t="s">
        <v>42</v>
      </c>
      <c r="R11" s="3"/>
      <c r="S11" s="3" t="s">
        <v>93</v>
      </c>
      <c r="T11" s="3" t="s">
        <v>46</v>
      </c>
      <c r="U11" s="3" t="s">
        <v>46</v>
      </c>
      <c r="V11" s="3" t="s">
        <v>46</v>
      </c>
      <c r="W11" s="3" t="s">
        <v>127</v>
      </c>
      <c r="X11" s="7">
        <v>1.82206120000797E14</v>
      </c>
      <c r="Y11" s="8">
        <v>5.00247146871E11</v>
      </c>
      <c r="Z11" s="8">
        <v>2.29047785761E11</v>
      </c>
      <c r="AA11" s="8">
        <v>2.1905031727E10</v>
      </c>
      <c r="AB11" s="3" t="s">
        <v>46</v>
      </c>
      <c r="AC11" s="9">
        <v>1800.0</v>
      </c>
      <c r="AE11" s="10"/>
    </row>
    <row r="12">
      <c r="A12" s="3">
        <v>11.0</v>
      </c>
      <c r="B12" s="3" t="s">
        <v>30</v>
      </c>
      <c r="C12" s="3">
        <v>803.0</v>
      </c>
      <c r="D12" s="4">
        <v>44057.0</v>
      </c>
      <c r="E12" s="3" t="s">
        <v>128</v>
      </c>
      <c r="F12" s="3" t="s">
        <v>50</v>
      </c>
      <c r="G12" s="3" t="s">
        <v>129</v>
      </c>
      <c r="H12" s="3" t="s">
        <v>34</v>
      </c>
      <c r="I12" s="3" t="s">
        <v>107</v>
      </c>
      <c r="J12" s="5" t="s">
        <v>36</v>
      </c>
      <c r="K12" s="3" t="s">
        <v>130</v>
      </c>
      <c r="L12" s="3" t="s">
        <v>131</v>
      </c>
      <c r="M12" s="3" t="s">
        <v>38</v>
      </c>
      <c r="N12" s="3" t="s">
        <v>132</v>
      </c>
      <c r="O12" s="3" t="s">
        <v>111</v>
      </c>
      <c r="P12" s="3" t="s">
        <v>133</v>
      </c>
      <c r="Q12" s="3" t="s">
        <v>42</v>
      </c>
      <c r="R12" s="3" t="s">
        <v>20</v>
      </c>
      <c r="S12" s="3" t="s">
        <v>103</v>
      </c>
      <c r="T12" s="3" t="s">
        <v>46</v>
      </c>
      <c r="U12" s="3" t="s">
        <v>45</v>
      </c>
      <c r="V12" s="3" t="s">
        <v>46</v>
      </c>
      <c r="W12" s="3" t="s">
        <v>134</v>
      </c>
      <c r="X12" s="7">
        <v>1.82206120000803E14</v>
      </c>
      <c r="Y12" s="8">
        <v>2.64862921965E11</v>
      </c>
      <c r="Z12" s="8">
        <v>4.85723613525E11</v>
      </c>
      <c r="AA12" s="8">
        <v>2.1885219265E10</v>
      </c>
      <c r="AB12" s="3" t="s">
        <v>46</v>
      </c>
      <c r="AC12" s="9">
        <v>0.0</v>
      </c>
      <c r="AE12" s="10"/>
    </row>
    <row r="13">
      <c r="A13" s="3">
        <v>12.0</v>
      </c>
      <c r="B13" s="3" t="s">
        <v>30</v>
      </c>
      <c r="C13" s="3">
        <v>822.0</v>
      </c>
      <c r="D13" s="4">
        <v>44076.0</v>
      </c>
      <c r="E13" s="3" t="s">
        <v>135</v>
      </c>
      <c r="F13" s="3" t="s">
        <v>62</v>
      </c>
      <c r="G13" s="3" t="s">
        <v>136</v>
      </c>
      <c r="H13" s="3" t="s">
        <v>34</v>
      </c>
      <c r="I13" s="6" t="s">
        <v>52</v>
      </c>
      <c r="J13" s="5" t="s">
        <v>36</v>
      </c>
      <c r="K13" s="3" t="s">
        <v>137</v>
      </c>
      <c r="L13" s="3" t="s">
        <v>138</v>
      </c>
      <c r="M13" s="3" t="s">
        <v>38</v>
      </c>
      <c r="N13" s="3" t="s">
        <v>139</v>
      </c>
      <c r="O13" s="3" t="s">
        <v>101</v>
      </c>
      <c r="P13" s="3" t="s">
        <v>140</v>
      </c>
      <c r="Q13" s="3" t="s">
        <v>42</v>
      </c>
      <c r="R13" s="3"/>
      <c r="S13" s="3" t="s">
        <v>103</v>
      </c>
      <c r="T13" s="3" t="s">
        <v>46</v>
      </c>
      <c r="U13" s="3" t="s">
        <v>46</v>
      </c>
      <c r="V13" s="3" t="s">
        <v>46</v>
      </c>
      <c r="W13" s="3" t="s">
        <v>141</v>
      </c>
      <c r="X13" s="7">
        <v>1.82206120000822E14</v>
      </c>
      <c r="Y13" s="8">
        <v>8.87962002526E11</v>
      </c>
      <c r="Z13" s="8">
        <v>8.98268188636E11</v>
      </c>
      <c r="AA13" s="8">
        <v>2.2432155347E10</v>
      </c>
      <c r="AB13" s="3" t="s">
        <v>46</v>
      </c>
      <c r="AC13" s="9">
        <v>1800.0</v>
      </c>
      <c r="AE13" s="10"/>
    </row>
    <row r="14">
      <c r="A14" s="3">
        <v>13.0</v>
      </c>
      <c r="B14" s="3" t="s">
        <v>30</v>
      </c>
      <c r="C14" s="3">
        <v>821.0</v>
      </c>
      <c r="D14" s="4">
        <v>44074.0</v>
      </c>
      <c r="E14" s="3" t="s">
        <v>142</v>
      </c>
      <c r="F14" s="3" t="s">
        <v>62</v>
      </c>
      <c r="G14" s="3" t="s">
        <v>143</v>
      </c>
      <c r="H14" s="3" t="s">
        <v>34</v>
      </c>
      <c r="I14" s="3" t="s">
        <v>107</v>
      </c>
      <c r="J14" s="5" t="s">
        <v>53</v>
      </c>
      <c r="K14" s="6" t="s">
        <v>144</v>
      </c>
      <c r="L14" s="6">
        <v>9.86360903E9</v>
      </c>
      <c r="M14" s="3" t="s">
        <v>38</v>
      </c>
      <c r="N14" s="3" t="s">
        <v>145</v>
      </c>
      <c r="O14" s="3" t="s">
        <v>146</v>
      </c>
      <c r="P14" s="3" t="s">
        <v>147</v>
      </c>
      <c r="Q14" s="3" t="s">
        <v>42</v>
      </c>
      <c r="R14" s="3" t="s">
        <v>20</v>
      </c>
      <c r="S14" s="3" t="s">
        <v>44</v>
      </c>
      <c r="T14" s="3" t="s">
        <v>46</v>
      </c>
      <c r="U14" s="3" t="s">
        <v>45</v>
      </c>
      <c r="V14" s="3" t="s">
        <v>46</v>
      </c>
      <c r="W14" s="3" t="s">
        <v>148</v>
      </c>
      <c r="X14" s="7">
        <v>1.82206120000821E14</v>
      </c>
      <c r="Y14" s="8">
        <v>9.24349927192E11</v>
      </c>
      <c r="Z14" s="8">
        <v>7.99965593447E11</v>
      </c>
      <c r="AA14" s="8">
        <v>2.2089176287E10</v>
      </c>
      <c r="AB14" s="3" t="s">
        <v>46</v>
      </c>
      <c r="AC14" s="9">
        <v>0.0</v>
      </c>
      <c r="AE14" s="10"/>
    </row>
    <row r="15">
      <c r="A15" s="3">
        <v>14.0</v>
      </c>
      <c r="B15" s="3" t="s">
        <v>30</v>
      </c>
      <c r="C15" s="3">
        <v>817.0</v>
      </c>
      <c r="D15" s="4">
        <v>44070.0</v>
      </c>
      <c r="E15" s="3" t="s">
        <v>149</v>
      </c>
      <c r="F15" s="3" t="s">
        <v>70</v>
      </c>
      <c r="G15" s="3" t="s">
        <v>150</v>
      </c>
      <c r="H15" s="3" t="s">
        <v>34</v>
      </c>
      <c r="I15" s="3" t="s">
        <v>35</v>
      </c>
      <c r="J15" s="5" t="s">
        <v>53</v>
      </c>
      <c r="K15" s="3" t="s">
        <v>151</v>
      </c>
      <c r="L15" s="3" t="s">
        <v>152</v>
      </c>
      <c r="M15" s="3" t="s">
        <v>153</v>
      </c>
      <c r="N15" s="3" t="s">
        <v>154</v>
      </c>
      <c r="O15" s="3" t="s">
        <v>74</v>
      </c>
      <c r="P15" s="3" t="s">
        <v>155</v>
      </c>
      <c r="Q15" s="3" t="s">
        <v>42</v>
      </c>
      <c r="R15" s="3"/>
      <c r="S15" s="3" t="s">
        <v>93</v>
      </c>
      <c r="T15" s="3" t="s">
        <v>46</v>
      </c>
      <c r="U15" s="3" t="s">
        <v>46</v>
      </c>
      <c r="V15" s="3" t="s">
        <v>46</v>
      </c>
      <c r="W15" s="3" t="s">
        <v>156</v>
      </c>
      <c r="X15" s="7">
        <v>1.82206120000817E14</v>
      </c>
      <c r="Y15" s="8">
        <v>5.7877343974E11</v>
      </c>
      <c r="Z15" s="8">
        <v>8.19429122257E11</v>
      </c>
      <c r="AA15" s="8">
        <v>2.2081363343E10</v>
      </c>
      <c r="AB15" s="3" t="s">
        <v>46</v>
      </c>
      <c r="AC15" s="9">
        <v>1800.0</v>
      </c>
      <c r="AE15" s="10"/>
    </row>
    <row r="16">
      <c r="A16" s="3">
        <v>15.0</v>
      </c>
      <c r="B16" s="3" t="s">
        <v>30</v>
      </c>
      <c r="C16" s="3">
        <v>831.0</v>
      </c>
      <c r="D16" s="4">
        <v>44089.0</v>
      </c>
      <c r="E16" s="3" t="s">
        <v>157</v>
      </c>
      <c r="F16" s="3" t="s">
        <v>32</v>
      </c>
      <c r="G16" s="3" t="s">
        <v>158</v>
      </c>
      <c r="H16" s="3" t="s">
        <v>34</v>
      </c>
      <c r="I16" s="3" t="s">
        <v>116</v>
      </c>
      <c r="J16" s="5" t="s">
        <v>53</v>
      </c>
      <c r="K16" s="6" t="s">
        <v>159</v>
      </c>
      <c r="L16" s="3" t="s">
        <v>160</v>
      </c>
      <c r="M16" s="3" t="s">
        <v>38</v>
      </c>
      <c r="N16" s="3" t="s">
        <v>161</v>
      </c>
      <c r="O16" s="3" t="s">
        <v>162</v>
      </c>
      <c r="P16" s="3" t="s">
        <v>163</v>
      </c>
      <c r="Q16" s="3" t="s">
        <v>42</v>
      </c>
      <c r="R16" s="3"/>
      <c r="S16" s="3" t="s">
        <v>164</v>
      </c>
      <c r="T16" s="3" t="s">
        <v>46</v>
      </c>
      <c r="U16" s="3" t="s">
        <v>46</v>
      </c>
      <c r="V16" s="3" t="s">
        <v>46</v>
      </c>
      <c r="W16" s="3" t="s">
        <v>165</v>
      </c>
      <c r="X16" s="7">
        <v>1.82206120000831E14</v>
      </c>
      <c r="Y16" s="8">
        <v>6.39528283032E11</v>
      </c>
      <c r="Z16" s="8">
        <v>5.45810033661E11</v>
      </c>
      <c r="AA16" s="8">
        <v>2.2005384804E10</v>
      </c>
      <c r="AB16" s="3" t="s">
        <v>46</v>
      </c>
      <c r="AC16" s="9">
        <v>1800.0</v>
      </c>
      <c r="AE16" s="10" t="s">
        <v>166</v>
      </c>
    </row>
    <row r="17">
      <c r="A17" s="3">
        <v>16.0</v>
      </c>
      <c r="B17" s="3" t="s">
        <v>30</v>
      </c>
      <c r="C17" s="3">
        <v>796.0</v>
      </c>
      <c r="D17" s="4">
        <v>44061.0</v>
      </c>
      <c r="E17" s="3" t="s">
        <v>167</v>
      </c>
      <c r="F17" s="3" t="s">
        <v>50</v>
      </c>
      <c r="G17" s="3" t="s">
        <v>168</v>
      </c>
      <c r="H17" s="3" t="s">
        <v>34</v>
      </c>
      <c r="I17" s="6" t="s">
        <v>52</v>
      </c>
      <c r="J17" s="5" t="s">
        <v>36</v>
      </c>
      <c r="K17" s="6" t="s">
        <v>169</v>
      </c>
      <c r="L17" s="3" t="s">
        <v>170</v>
      </c>
      <c r="M17" s="3" t="s">
        <v>38</v>
      </c>
      <c r="N17" s="3" t="s">
        <v>171</v>
      </c>
      <c r="O17" s="3" t="s">
        <v>172</v>
      </c>
      <c r="P17" s="3" t="s">
        <v>155</v>
      </c>
      <c r="Q17" s="3" t="s">
        <v>42</v>
      </c>
      <c r="R17" s="11" t="s">
        <v>20</v>
      </c>
      <c r="S17" s="3" t="s">
        <v>103</v>
      </c>
      <c r="T17" s="3" t="s">
        <v>46</v>
      </c>
      <c r="U17" s="3" t="s">
        <v>45</v>
      </c>
      <c r="V17" s="3" t="s">
        <v>46</v>
      </c>
      <c r="W17" s="3" t="s">
        <v>173</v>
      </c>
      <c r="X17" s="7">
        <v>1.82206120000796E14</v>
      </c>
      <c r="Y17" s="8">
        <v>5.41201377845E11</v>
      </c>
      <c r="Z17" s="8">
        <v>9.09524822079E11</v>
      </c>
      <c r="AA17" s="8">
        <v>2.2226362957E10</v>
      </c>
      <c r="AB17" s="3" t="s">
        <v>46</v>
      </c>
      <c r="AC17" s="9">
        <v>0.0</v>
      </c>
      <c r="AE17" s="10"/>
    </row>
    <row r="18">
      <c r="A18" s="3">
        <v>17.0</v>
      </c>
      <c r="B18" s="3" t="s">
        <v>174</v>
      </c>
      <c r="C18" s="3">
        <v>961.0</v>
      </c>
      <c r="D18" s="4">
        <v>44742.0</v>
      </c>
      <c r="E18" s="3" t="s">
        <v>175</v>
      </c>
      <c r="F18" s="3" t="s">
        <v>50</v>
      </c>
      <c r="G18" s="3" t="s">
        <v>176</v>
      </c>
      <c r="H18" s="3" t="s">
        <v>34</v>
      </c>
      <c r="I18" s="3" t="s">
        <v>107</v>
      </c>
      <c r="J18" s="5" t="s">
        <v>53</v>
      </c>
      <c r="K18" s="3" t="s">
        <v>177</v>
      </c>
      <c r="L18" s="6">
        <v>9.366218911E9</v>
      </c>
      <c r="M18" s="3" t="s">
        <v>38</v>
      </c>
      <c r="N18" s="3" t="s">
        <v>178</v>
      </c>
      <c r="O18" s="3" t="s">
        <v>57</v>
      </c>
      <c r="P18" s="3" t="s">
        <v>179</v>
      </c>
      <c r="Q18" s="3" t="s">
        <v>180</v>
      </c>
      <c r="R18" s="3"/>
      <c r="S18" s="3" t="s">
        <v>103</v>
      </c>
      <c r="T18" s="3" t="s">
        <v>46</v>
      </c>
      <c r="U18" s="3" t="s">
        <v>46</v>
      </c>
      <c r="V18" s="3" t="s">
        <v>46</v>
      </c>
      <c r="W18" s="3" t="s">
        <v>181</v>
      </c>
      <c r="X18" s="7">
        <v>1.82206122000961E14</v>
      </c>
      <c r="Y18" s="8">
        <v>7.08786182671E11</v>
      </c>
      <c r="Z18" s="8">
        <v>7.49078561938E11</v>
      </c>
      <c r="AA18" s="8">
        <v>2.2323931841E10</v>
      </c>
      <c r="AB18" s="3" t="s">
        <v>46</v>
      </c>
      <c r="AC18" s="9">
        <v>1800.0</v>
      </c>
      <c r="AE18" s="10"/>
    </row>
    <row r="19">
      <c r="A19" s="3">
        <v>18.0</v>
      </c>
      <c r="B19" s="3" t="s">
        <v>30</v>
      </c>
      <c r="C19" s="3">
        <v>788.0</v>
      </c>
      <c r="D19" s="4">
        <v>44060.0</v>
      </c>
      <c r="E19" s="3" t="s">
        <v>182</v>
      </c>
      <c r="F19" s="3" t="s">
        <v>70</v>
      </c>
      <c r="G19" s="4">
        <v>41901.0</v>
      </c>
      <c r="H19" s="3" t="s">
        <v>34</v>
      </c>
      <c r="I19" s="3" t="s">
        <v>35</v>
      </c>
      <c r="J19" s="5" t="s">
        <v>42</v>
      </c>
      <c r="K19" s="6" t="s">
        <v>183</v>
      </c>
      <c r="L19" s="3" t="s">
        <v>184</v>
      </c>
      <c r="M19" s="3" t="s">
        <v>185</v>
      </c>
      <c r="N19" s="3" t="s">
        <v>186</v>
      </c>
      <c r="O19" s="3" t="s">
        <v>187</v>
      </c>
      <c r="P19" s="3" t="s">
        <v>188</v>
      </c>
      <c r="Q19" s="3" t="s">
        <v>42</v>
      </c>
      <c r="R19" s="3" t="s">
        <v>92</v>
      </c>
      <c r="S19" s="3" t="s">
        <v>44</v>
      </c>
      <c r="T19" s="3" t="s">
        <v>46</v>
      </c>
      <c r="U19" s="3" t="s">
        <v>46</v>
      </c>
      <c r="V19" s="3" t="s">
        <v>46</v>
      </c>
      <c r="W19" s="3" t="s">
        <v>189</v>
      </c>
      <c r="X19" s="7">
        <v>1.82206120000788E14</v>
      </c>
      <c r="Y19" s="8">
        <v>3.68228934275E11</v>
      </c>
      <c r="Z19" s="8">
        <v>3.16467017105E11</v>
      </c>
      <c r="AA19" s="8">
        <v>2.1968697656E10</v>
      </c>
      <c r="AB19" s="3" t="s">
        <v>45</v>
      </c>
      <c r="AC19" s="9">
        <v>1800.0</v>
      </c>
      <c r="AE19" s="10"/>
    </row>
    <row r="20">
      <c r="A20" s="3">
        <v>19.0</v>
      </c>
      <c r="B20" s="3" t="s">
        <v>30</v>
      </c>
      <c r="C20" s="3">
        <v>798.0</v>
      </c>
      <c r="D20" s="4">
        <v>44060.0</v>
      </c>
      <c r="E20" s="3" t="s">
        <v>190</v>
      </c>
      <c r="F20" s="3" t="s">
        <v>32</v>
      </c>
      <c r="G20" s="3" t="s">
        <v>191</v>
      </c>
      <c r="H20" s="3" t="s">
        <v>34</v>
      </c>
      <c r="I20" s="3" t="s">
        <v>35</v>
      </c>
      <c r="J20" s="5" t="s">
        <v>36</v>
      </c>
      <c r="K20" s="6" t="s">
        <v>192</v>
      </c>
      <c r="L20" s="3" t="s">
        <v>193</v>
      </c>
      <c r="M20" s="3" t="s">
        <v>38</v>
      </c>
      <c r="N20" s="3" t="s">
        <v>194</v>
      </c>
      <c r="O20" s="3" t="s">
        <v>195</v>
      </c>
      <c r="P20" s="3" t="s">
        <v>126</v>
      </c>
      <c r="Q20" s="3" t="s">
        <v>42</v>
      </c>
      <c r="R20" s="3" t="s">
        <v>43</v>
      </c>
      <c r="S20" s="3" t="s">
        <v>93</v>
      </c>
      <c r="T20" s="3" t="s">
        <v>45</v>
      </c>
      <c r="U20" s="3" t="s">
        <v>46</v>
      </c>
      <c r="V20" s="3" t="s">
        <v>47</v>
      </c>
      <c r="W20" s="3" t="s">
        <v>196</v>
      </c>
      <c r="X20" s="7">
        <v>1.82206120000798E14</v>
      </c>
      <c r="Y20" s="8">
        <v>8.64672797526E11</v>
      </c>
      <c r="Z20" s="8">
        <v>2.07563634804E11</v>
      </c>
      <c r="AA20" s="8">
        <v>2.1988869189E10</v>
      </c>
      <c r="AB20" s="3" t="s">
        <v>46</v>
      </c>
      <c r="AC20" s="9">
        <v>0.0</v>
      </c>
      <c r="AE20" s="10"/>
    </row>
    <row r="21" ht="15.75" customHeight="1">
      <c r="A21" s="3">
        <v>20.0</v>
      </c>
      <c r="B21" s="3" t="s">
        <v>30</v>
      </c>
      <c r="C21" s="3">
        <v>787.0</v>
      </c>
      <c r="D21" s="4">
        <v>44057.0</v>
      </c>
      <c r="E21" s="3" t="s">
        <v>197</v>
      </c>
      <c r="F21" s="3" t="s">
        <v>62</v>
      </c>
      <c r="G21" s="3" t="s">
        <v>198</v>
      </c>
      <c r="H21" s="3" t="s">
        <v>199</v>
      </c>
      <c r="I21" s="3" t="s">
        <v>35</v>
      </c>
      <c r="J21" s="12" t="s">
        <v>42</v>
      </c>
      <c r="K21" s="3" t="s">
        <v>200</v>
      </c>
      <c r="L21" s="3" t="s">
        <v>201</v>
      </c>
      <c r="M21" s="3" t="s">
        <v>38</v>
      </c>
      <c r="N21" s="3" t="s">
        <v>202</v>
      </c>
      <c r="O21" s="3" t="s">
        <v>203</v>
      </c>
      <c r="P21" s="3" t="s">
        <v>204</v>
      </c>
      <c r="Q21" s="3" t="s">
        <v>42</v>
      </c>
      <c r="R21" s="3" t="s">
        <v>92</v>
      </c>
      <c r="S21" s="3" t="s">
        <v>93</v>
      </c>
      <c r="T21" s="3" t="s">
        <v>46</v>
      </c>
      <c r="U21" s="3" t="s">
        <v>46</v>
      </c>
      <c r="V21" s="3" t="s">
        <v>46</v>
      </c>
      <c r="W21" s="3" t="s">
        <v>205</v>
      </c>
      <c r="X21" s="7">
        <v>1.82206120000787E14</v>
      </c>
      <c r="Y21" s="8">
        <v>2.58002847276E11</v>
      </c>
      <c r="Z21" s="8">
        <v>8.48658000656E11</v>
      </c>
      <c r="AA21" s="8">
        <v>2.194467206E10</v>
      </c>
      <c r="AB21" s="3" t="s">
        <v>45</v>
      </c>
      <c r="AC21" s="9">
        <v>1800.0</v>
      </c>
      <c r="AE21" s="10" t="s">
        <v>206</v>
      </c>
    </row>
    <row r="22" ht="15.75" customHeight="1">
      <c r="A22" s="3">
        <v>21.0</v>
      </c>
      <c r="B22" s="3" t="s">
        <v>207</v>
      </c>
      <c r="C22" s="9" t="s">
        <v>208</v>
      </c>
      <c r="D22" s="13">
        <v>44418.0</v>
      </c>
      <c r="E22" s="3" t="s">
        <v>209</v>
      </c>
      <c r="F22" s="3" t="s">
        <v>50</v>
      </c>
      <c r="G22" s="3" t="s">
        <v>210</v>
      </c>
      <c r="H22" s="3" t="s">
        <v>199</v>
      </c>
      <c r="I22" s="3" t="s">
        <v>35</v>
      </c>
      <c r="J22" s="14" t="s">
        <v>36</v>
      </c>
      <c r="K22" s="6" t="s">
        <v>211</v>
      </c>
      <c r="L22" s="6">
        <v>9.774542196E9</v>
      </c>
      <c r="M22" s="3" t="s">
        <v>38</v>
      </c>
      <c r="N22" s="3" t="s">
        <v>212</v>
      </c>
      <c r="O22" s="3" t="s">
        <v>111</v>
      </c>
      <c r="P22" s="3" t="s">
        <v>213</v>
      </c>
      <c r="Q22" s="3" t="s">
        <v>87</v>
      </c>
      <c r="R22" s="3" t="s">
        <v>214</v>
      </c>
      <c r="S22" s="3" t="s">
        <v>59</v>
      </c>
      <c r="T22" s="3" t="s">
        <v>46</v>
      </c>
      <c r="U22" s="3" t="s">
        <v>46</v>
      </c>
      <c r="V22" s="3" t="s">
        <v>46</v>
      </c>
      <c r="W22" s="3" t="s">
        <v>215</v>
      </c>
      <c r="X22" s="7" t="s">
        <v>216</v>
      </c>
      <c r="Y22" s="8">
        <v>3.81188761959E11</v>
      </c>
      <c r="Z22" s="8">
        <v>8.74543567905E11</v>
      </c>
      <c r="AA22" s="8">
        <v>2.1823419175E10</v>
      </c>
      <c r="AB22" s="3" t="s">
        <v>46</v>
      </c>
      <c r="AC22" s="9">
        <v>1800.0</v>
      </c>
      <c r="AE22" s="10"/>
    </row>
    <row r="23" ht="15.75" customHeight="1">
      <c r="A23" s="3">
        <v>22.0</v>
      </c>
      <c r="B23" s="3" t="s">
        <v>174</v>
      </c>
      <c r="C23" s="3">
        <v>962.0</v>
      </c>
      <c r="D23" s="4">
        <v>44743.0</v>
      </c>
      <c r="E23" s="3" t="s">
        <v>217</v>
      </c>
      <c r="F23" s="3" t="s">
        <v>50</v>
      </c>
      <c r="G23" s="3" t="s">
        <v>218</v>
      </c>
      <c r="H23" s="3" t="s">
        <v>199</v>
      </c>
      <c r="I23" s="3" t="s">
        <v>35</v>
      </c>
      <c r="J23" s="5" t="s">
        <v>53</v>
      </c>
      <c r="K23" s="3" t="s">
        <v>219</v>
      </c>
      <c r="L23" s="6">
        <v>9.862332977E9</v>
      </c>
      <c r="M23" s="3" t="s">
        <v>38</v>
      </c>
      <c r="N23" s="3" t="s">
        <v>220</v>
      </c>
      <c r="O23" s="3" t="s">
        <v>57</v>
      </c>
      <c r="P23" s="3" t="s">
        <v>66</v>
      </c>
      <c r="Q23" s="3" t="s">
        <v>180</v>
      </c>
      <c r="R23" s="3"/>
      <c r="S23" s="3" t="s">
        <v>93</v>
      </c>
      <c r="T23" s="3" t="s">
        <v>46</v>
      </c>
      <c r="U23" s="3" t="s">
        <v>46</v>
      </c>
      <c r="V23" s="3" t="s">
        <v>47</v>
      </c>
      <c r="W23" s="3" t="s">
        <v>221</v>
      </c>
      <c r="X23" s="7">
        <v>1.82206122000962E14</v>
      </c>
      <c r="Y23" s="8">
        <v>4.91501383923E11</v>
      </c>
      <c r="Z23" s="8">
        <v>4.83134687745E11</v>
      </c>
      <c r="AA23" s="8">
        <v>2.2333395643E10</v>
      </c>
      <c r="AB23" s="3" t="s">
        <v>46</v>
      </c>
      <c r="AC23" s="9">
        <v>1800.0</v>
      </c>
      <c r="AE23" s="10"/>
    </row>
    <row r="24" ht="15.75" customHeight="1">
      <c r="A24" s="3">
        <v>23.0</v>
      </c>
      <c r="B24" s="3" t="s">
        <v>30</v>
      </c>
      <c r="C24" s="3">
        <v>801.0</v>
      </c>
      <c r="D24" s="4">
        <v>44057.0</v>
      </c>
      <c r="E24" s="3" t="s">
        <v>222</v>
      </c>
      <c r="F24" s="3" t="s">
        <v>70</v>
      </c>
      <c r="G24" s="3" t="s">
        <v>223</v>
      </c>
      <c r="H24" s="3" t="s">
        <v>199</v>
      </c>
      <c r="I24" s="3" t="s">
        <v>116</v>
      </c>
      <c r="J24" s="5" t="s">
        <v>36</v>
      </c>
      <c r="K24" s="3" t="s">
        <v>224</v>
      </c>
      <c r="L24" s="3" t="s">
        <v>225</v>
      </c>
      <c r="M24" s="3" t="s">
        <v>38</v>
      </c>
      <c r="N24" s="3" t="s">
        <v>226</v>
      </c>
      <c r="O24" s="3" t="s">
        <v>111</v>
      </c>
      <c r="P24" s="3" t="s">
        <v>41</v>
      </c>
      <c r="Q24" s="3" t="s">
        <v>42</v>
      </c>
      <c r="R24" s="3" t="s">
        <v>20</v>
      </c>
      <c r="S24" s="3" t="s">
        <v>44</v>
      </c>
      <c r="T24" s="3" t="s">
        <v>46</v>
      </c>
      <c r="U24" s="3" t="s">
        <v>45</v>
      </c>
      <c r="V24" s="3" t="s">
        <v>46</v>
      </c>
      <c r="W24" s="3" t="s">
        <v>227</v>
      </c>
      <c r="X24" s="7">
        <v>1.82206120000801E14</v>
      </c>
      <c r="Y24" s="8">
        <v>3.51149263133E11</v>
      </c>
      <c r="Z24" s="8">
        <v>8.90588548858E11</v>
      </c>
      <c r="AA24" s="8">
        <v>2.2404590353E10</v>
      </c>
      <c r="AB24" s="3" t="s">
        <v>46</v>
      </c>
      <c r="AC24" s="9">
        <v>0.0</v>
      </c>
      <c r="AE24" s="10"/>
    </row>
    <row r="25" ht="15.75" customHeight="1">
      <c r="A25" s="3">
        <v>24.0</v>
      </c>
      <c r="B25" s="3" t="s">
        <v>30</v>
      </c>
      <c r="C25" s="3">
        <v>789.0</v>
      </c>
      <c r="D25" s="4">
        <v>44057.0</v>
      </c>
      <c r="E25" s="3" t="s">
        <v>228</v>
      </c>
      <c r="F25" s="3" t="s">
        <v>32</v>
      </c>
      <c r="G25" s="3" t="s">
        <v>229</v>
      </c>
      <c r="H25" s="3" t="s">
        <v>199</v>
      </c>
      <c r="I25" s="6" t="s">
        <v>86</v>
      </c>
      <c r="J25" s="5" t="s">
        <v>42</v>
      </c>
      <c r="K25" s="3" t="s">
        <v>230</v>
      </c>
      <c r="L25" s="3" t="s">
        <v>231</v>
      </c>
      <c r="M25" s="3" t="s">
        <v>38</v>
      </c>
      <c r="N25" s="3" t="s">
        <v>232</v>
      </c>
      <c r="O25" s="3" t="s">
        <v>203</v>
      </c>
      <c r="P25" s="3" t="s">
        <v>188</v>
      </c>
      <c r="Q25" s="3" t="s">
        <v>42</v>
      </c>
      <c r="R25" s="3" t="s">
        <v>92</v>
      </c>
      <c r="S25" s="3" t="s">
        <v>59</v>
      </c>
      <c r="T25" s="3" t="s">
        <v>46</v>
      </c>
      <c r="U25" s="3" t="s">
        <v>46</v>
      </c>
      <c r="V25" s="3" t="s">
        <v>46</v>
      </c>
      <c r="W25" s="15" t="s">
        <v>233</v>
      </c>
      <c r="X25" s="7">
        <v>1.82206120000789E14</v>
      </c>
      <c r="Y25" s="8">
        <v>4.85568823938E11</v>
      </c>
      <c r="Z25" s="8">
        <v>2.33440341669E11</v>
      </c>
      <c r="AA25" s="8">
        <v>2.2205197635E10</v>
      </c>
      <c r="AB25" s="3" t="s">
        <v>45</v>
      </c>
      <c r="AC25" s="9">
        <v>1800.0</v>
      </c>
      <c r="AE25" s="10"/>
    </row>
    <row r="26" ht="18.75" customHeight="1">
      <c r="A26" s="3">
        <v>25.0</v>
      </c>
      <c r="B26" s="3" t="s">
        <v>30</v>
      </c>
      <c r="C26" s="3">
        <v>818.0</v>
      </c>
      <c r="D26" s="4">
        <v>44074.0</v>
      </c>
      <c r="E26" s="3" t="s">
        <v>234</v>
      </c>
      <c r="F26" s="3" t="s">
        <v>62</v>
      </c>
      <c r="G26" s="3" t="s">
        <v>235</v>
      </c>
      <c r="H26" s="3" t="s">
        <v>199</v>
      </c>
      <c r="I26" s="6" t="s">
        <v>86</v>
      </c>
      <c r="J26" s="5" t="s">
        <v>53</v>
      </c>
      <c r="K26" s="3" t="s">
        <v>236</v>
      </c>
      <c r="L26" s="3" t="s">
        <v>237</v>
      </c>
      <c r="M26" s="3" t="s">
        <v>238</v>
      </c>
      <c r="N26" s="3" t="s">
        <v>239</v>
      </c>
      <c r="O26" s="3" t="s">
        <v>111</v>
      </c>
      <c r="P26" s="3" t="s">
        <v>240</v>
      </c>
      <c r="Q26" s="3" t="s">
        <v>42</v>
      </c>
      <c r="R26" s="3"/>
      <c r="S26" s="3" t="s">
        <v>44</v>
      </c>
      <c r="T26" s="3" t="s">
        <v>46</v>
      </c>
      <c r="U26" s="3" t="s">
        <v>46</v>
      </c>
      <c r="V26" s="3" t="s">
        <v>46</v>
      </c>
      <c r="W26" s="3" t="s">
        <v>241</v>
      </c>
      <c r="X26" s="7">
        <v>1.82206120000818E14</v>
      </c>
      <c r="Y26" s="8">
        <v>7.66844055557E11</v>
      </c>
      <c r="Z26" s="8">
        <v>9.07825228905E11</v>
      </c>
      <c r="AA26" s="8">
        <v>2.2137635577E10</v>
      </c>
      <c r="AB26" s="3" t="s">
        <v>46</v>
      </c>
      <c r="AC26" s="9">
        <v>1800.0</v>
      </c>
      <c r="AE26" s="10"/>
    </row>
    <row r="27" ht="15.75" customHeight="1">
      <c r="A27" s="3">
        <v>26.0</v>
      </c>
      <c r="B27" s="3" t="s">
        <v>30</v>
      </c>
      <c r="C27" s="3">
        <v>819.0</v>
      </c>
      <c r="D27" s="4">
        <v>44074.0</v>
      </c>
      <c r="E27" s="3" t="s">
        <v>242</v>
      </c>
      <c r="F27" s="3" t="s">
        <v>32</v>
      </c>
      <c r="G27" s="6" t="s">
        <v>243</v>
      </c>
      <c r="H27" s="3" t="s">
        <v>199</v>
      </c>
      <c r="I27" s="3" t="s">
        <v>35</v>
      </c>
      <c r="J27" s="5" t="s">
        <v>53</v>
      </c>
      <c r="K27" s="3" t="s">
        <v>244</v>
      </c>
      <c r="L27" s="3" t="s">
        <v>245</v>
      </c>
      <c r="M27" s="3" t="s">
        <v>38</v>
      </c>
      <c r="N27" s="3" t="s">
        <v>246</v>
      </c>
      <c r="O27" s="3" t="s">
        <v>146</v>
      </c>
      <c r="P27" s="3" t="s">
        <v>155</v>
      </c>
      <c r="Q27" s="3" t="s">
        <v>42</v>
      </c>
      <c r="R27" s="3"/>
      <c r="S27" s="3" t="s">
        <v>103</v>
      </c>
      <c r="T27" s="3" t="s">
        <v>46</v>
      </c>
      <c r="U27" s="3" t="s">
        <v>46</v>
      </c>
      <c r="V27" s="3" t="s">
        <v>47</v>
      </c>
      <c r="W27" s="3" t="s">
        <v>247</v>
      </c>
      <c r="X27" s="7">
        <v>1.82206120000819E14</v>
      </c>
      <c r="Y27" s="8">
        <v>3.11111336493E11</v>
      </c>
      <c r="Z27" s="8">
        <v>8.41229011324E11</v>
      </c>
      <c r="AA27" s="8">
        <v>2.2277239712E10</v>
      </c>
      <c r="AB27" s="3" t="s">
        <v>46</v>
      </c>
      <c r="AC27" s="9">
        <v>1800.0</v>
      </c>
      <c r="AE27" s="10"/>
    </row>
    <row r="28" ht="15.75" customHeight="1">
      <c r="A28" s="3">
        <v>27.0</v>
      </c>
      <c r="B28" s="3" t="s">
        <v>30</v>
      </c>
      <c r="C28" s="3">
        <v>827.0</v>
      </c>
      <c r="D28" s="4">
        <v>44084.0</v>
      </c>
      <c r="E28" s="3" t="s">
        <v>248</v>
      </c>
      <c r="F28" s="3" t="s">
        <v>62</v>
      </c>
      <c r="G28" s="3" t="s">
        <v>249</v>
      </c>
      <c r="H28" s="3" t="s">
        <v>199</v>
      </c>
      <c r="I28" s="3" t="s">
        <v>116</v>
      </c>
      <c r="J28" s="5" t="s">
        <v>53</v>
      </c>
      <c r="K28" s="3" t="s">
        <v>250</v>
      </c>
      <c r="L28" s="6">
        <v>9.612705453E9</v>
      </c>
      <c r="M28" s="3" t="s">
        <v>38</v>
      </c>
      <c r="N28" s="3" t="s">
        <v>251</v>
      </c>
      <c r="O28" s="3" t="s">
        <v>252</v>
      </c>
      <c r="P28" s="3" t="s">
        <v>253</v>
      </c>
      <c r="Q28" s="3" t="s">
        <v>42</v>
      </c>
      <c r="R28" s="3"/>
      <c r="S28" s="3" t="s">
        <v>93</v>
      </c>
      <c r="T28" s="3" t="s">
        <v>46</v>
      </c>
      <c r="U28" s="3" t="s">
        <v>46</v>
      </c>
      <c r="V28" s="3" t="s">
        <v>46</v>
      </c>
      <c r="W28" s="3" t="s">
        <v>254</v>
      </c>
      <c r="X28" s="7">
        <v>1.82206120000827E14</v>
      </c>
      <c r="Y28" s="8">
        <v>5.32183760159E11</v>
      </c>
      <c r="Z28" s="8">
        <v>9.09631579863E11</v>
      </c>
      <c r="AA28" s="8">
        <v>2.1807088937E10</v>
      </c>
      <c r="AB28" s="3" t="s">
        <v>46</v>
      </c>
      <c r="AC28" s="9">
        <v>1800.0</v>
      </c>
      <c r="AE28" s="10"/>
    </row>
    <row r="29" ht="15.75" customHeight="1">
      <c r="A29" s="3">
        <v>28.0</v>
      </c>
      <c r="B29" s="3" t="s">
        <v>30</v>
      </c>
      <c r="C29" s="3">
        <v>812.0</v>
      </c>
      <c r="D29" s="4">
        <v>44069.0</v>
      </c>
      <c r="E29" s="3" t="s">
        <v>255</v>
      </c>
      <c r="F29" s="3" t="s">
        <v>70</v>
      </c>
      <c r="G29" s="3" t="s">
        <v>256</v>
      </c>
      <c r="H29" s="3" t="s">
        <v>199</v>
      </c>
      <c r="I29" s="6" t="s">
        <v>52</v>
      </c>
      <c r="J29" s="5" t="s">
        <v>53</v>
      </c>
      <c r="K29" s="3" t="s">
        <v>257</v>
      </c>
      <c r="L29" s="3" t="s">
        <v>258</v>
      </c>
      <c r="M29" s="3" t="s">
        <v>38</v>
      </c>
      <c r="N29" s="3" t="s">
        <v>259</v>
      </c>
      <c r="O29" s="3" t="s">
        <v>162</v>
      </c>
      <c r="P29" s="3" t="s">
        <v>260</v>
      </c>
      <c r="Q29" s="3" t="s">
        <v>42</v>
      </c>
      <c r="R29" s="3"/>
      <c r="S29" s="3" t="s">
        <v>103</v>
      </c>
      <c r="T29" s="3" t="s">
        <v>46</v>
      </c>
      <c r="U29" s="3" t="s">
        <v>46</v>
      </c>
      <c r="V29" s="3" t="s">
        <v>46</v>
      </c>
      <c r="W29" s="3" t="s">
        <v>261</v>
      </c>
      <c r="X29" s="7">
        <v>1.82206120000812E14</v>
      </c>
      <c r="Y29" s="8">
        <v>4.87172948367E11</v>
      </c>
      <c r="Z29" s="8">
        <v>5.08017304281E11</v>
      </c>
      <c r="AA29" s="8">
        <v>2.2208263308E10</v>
      </c>
      <c r="AB29" s="3" t="s">
        <v>46</v>
      </c>
      <c r="AC29" s="9">
        <v>1800.0</v>
      </c>
      <c r="AE29" s="10"/>
    </row>
    <row r="30" ht="15.75" customHeight="1">
      <c r="A30" s="3">
        <v>29.0</v>
      </c>
      <c r="B30" s="3" t="s">
        <v>30</v>
      </c>
      <c r="C30" s="3">
        <v>794.0</v>
      </c>
      <c r="D30" s="4">
        <v>44062.0</v>
      </c>
      <c r="E30" s="3" t="s">
        <v>262</v>
      </c>
      <c r="F30" s="3" t="s">
        <v>32</v>
      </c>
      <c r="G30" s="3" t="s">
        <v>263</v>
      </c>
      <c r="H30" s="3" t="s">
        <v>199</v>
      </c>
      <c r="I30" s="6" t="s">
        <v>52</v>
      </c>
      <c r="J30" s="5" t="s">
        <v>87</v>
      </c>
      <c r="K30" s="3" t="s">
        <v>264</v>
      </c>
      <c r="L30" s="3" t="s">
        <v>265</v>
      </c>
      <c r="M30" s="3" t="s">
        <v>38</v>
      </c>
      <c r="N30" s="3" t="s">
        <v>266</v>
      </c>
      <c r="O30" s="3" t="s">
        <v>267</v>
      </c>
      <c r="P30" s="3" t="s">
        <v>268</v>
      </c>
      <c r="Q30" s="3" t="s">
        <v>42</v>
      </c>
      <c r="R30" s="3" t="s">
        <v>269</v>
      </c>
      <c r="S30" s="3" t="s">
        <v>59</v>
      </c>
      <c r="T30" s="3" t="s">
        <v>46</v>
      </c>
      <c r="U30" s="3" t="s">
        <v>46</v>
      </c>
      <c r="V30" s="3" t="s">
        <v>46</v>
      </c>
      <c r="W30" s="3" t="s">
        <v>270</v>
      </c>
      <c r="X30" s="7">
        <v>1.82206120000794E14</v>
      </c>
      <c r="Y30" s="8">
        <v>3.45515389395E11</v>
      </c>
      <c r="Z30" s="8">
        <v>8.55669703043E11</v>
      </c>
      <c r="AA30" s="8">
        <v>2.2314714268E10</v>
      </c>
      <c r="AB30" s="3" t="s">
        <v>45</v>
      </c>
      <c r="AC30" s="9">
        <v>1800.0</v>
      </c>
      <c r="AE30" s="10"/>
    </row>
    <row r="31" ht="15.75" customHeight="1">
      <c r="A31" s="3">
        <v>30.0</v>
      </c>
      <c r="B31" s="3" t="s">
        <v>30</v>
      </c>
      <c r="C31" s="3">
        <v>805.0</v>
      </c>
      <c r="D31" s="4">
        <v>44067.0</v>
      </c>
      <c r="E31" s="3" t="s">
        <v>271</v>
      </c>
      <c r="F31" s="3" t="s">
        <v>50</v>
      </c>
      <c r="G31" s="3" t="s">
        <v>272</v>
      </c>
      <c r="H31" s="3" t="s">
        <v>199</v>
      </c>
      <c r="I31" s="3" t="s">
        <v>107</v>
      </c>
      <c r="J31" s="5" t="s">
        <v>53</v>
      </c>
      <c r="K31" s="3" t="s">
        <v>273</v>
      </c>
      <c r="L31" s="6">
        <v>8.974544401E9</v>
      </c>
      <c r="M31" s="3" t="s">
        <v>38</v>
      </c>
      <c r="N31" s="3" t="s">
        <v>274</v>
      </c>
      <c r="O31" s="3" t="s">
        <v>275</v>
      </c>
      <c r="P31" s="3" t="s">
        <v>260</v>
      </c>
      <c r="Q31" s="3" t="s">
        <v>42</v>
      </c>
      <c r="R31" s="3"/>
      <c r="S31" s="3" t="s">
        <v>103</v>
      </c>
      <c r="T31" s="3" t="s">
        <v>46</v>
      </c>
      <c r="U31" s="3" t="s">
        <v>46</v>
      </c>
      <c r="V31" s="3" t="s">
        <v>276</v>
      </c>
      <c r="W31" s="3" t="s">
        <v>277</v>
      </c>
      <c r="X31" s="7">
        <v>1.82206120000805E14</v>
      </c>
      <c r="Y31" s="8">
        <v>9.42925742867E11</v>
      </c>
      <c r="Z31" s="8">
        <v>7.60250614528E11</v>
      </c>
      <c r="AA31" s="8">
        <v>2.1840589394E10</v>
      </c>
      <c r="AB31" s="3" t="s">
        <v>46</v>
      </c>
      <c r="AC31" s="9">
        <v>1800.0</v>
      </c>
      <c r="AE31" s="10"/>
    </row>
    <row r="32" ht="15.75" customHeight="1">
      <c r="A32" s="3">
        <v>31.0</v>
      </c>
      <c r="B32" s="3" t="s">
        <v>278</v>
      </c>
      <c r="C32" s="3">
        <v>1129.0</v>
      </c>
      <c r="D32" s="4">
        <v>45534.0</v>
      </c>
      <c r="E32" s="16" t="s">
        <v>279</v>
      </c>
      <c r="F32" s="17" t="s">
        <v>70</v>
      </c>
      <c r="G32" s="3" t="s">
        <v>280</v>
      </c>
      <c r="H32" s="3" t="s">
        <v>199</v>
      </c>
      <c r="I32" s="3" t="s">
        <v>35</v>
      </c>
      <c r="J32" s="5" t="s">
        <v>42</v>
      </c>
      <c r="K32" s="3" t="s">
        <v>281</v>
      </c>
      <c r="L32" s="3" t="s">
        <v>282</v>
      </c>
      <c r="M32" s="3" t="s">
        <v>38</v>
      </c>
      <c r="N32" s="3" t="s">
        <v>283</v>
      </c>
      <c r="O32" s="3" t="s">
        <v>284</v>
      </c>
      <c r="P32" s="3" t="s">
        <v>285</v>
      </c>
      <c r="Q32" s="3" t="s">
        <v>286</v>
      </c>
      <c r="R32" s="3"/>
      <c r="S32" s="3" t="s">
        <v>103</v>
      </c>
      <c r="T32" s="3" t="s">
        <v>46</v>
      </c>
      <c r="U32" s="3" t="s">
        <v>46</v>
      </c>
      <c r="V32" s="3" t="s">
        <v>46</v>
      </c>
      <c r="W32" s="3" t="s">
        <v>287</v>
      </c>
      <c r="X32" s="7">
        <v>1.82206124001129E14</v>
      </c>
      <c r="Y32" s="8">
        <v>5.66690213981E11</v>
      </c>
      <c r="Z32" s="8">
        <v>2.10129636079E11</v>
      </c>
      <c r="AA32" s="8">
        <v>2.0796084105E10</v>
      </c>
      <c r="AB32" s="3" t="s">
        <v>45</v>
      </c>
      <c r="AC32" s="9">
        <v>1800.0</v>
      </c>
      <c r="AE32" s="10"/>
    </row>
    <row r="33" ht="15.75" customHeight="1">
      <c r="A33" s="3">
        <v>32.0</v>
      </c>
      <c r="B33" s="3" t="s">
        <v>30</v>
      </c>
      <c r="C33" s="3">
        <v>804.0</v>
      </c>
      <c r="D33" s="4">
        <v>44065.0</v>
      </c>
      <c r="E33" s="3" t="s">
        <v>288</v>
      </c>
      <c r="F33" s="3" t="s">
        <v>62</v>
      </c>
      <c r="G33" s="3" t="s">
        <v>289</v>
      </c>
      <c r="H33" s="3" t="s">
        <v>199</v>
      </c>
      <c r="I33" s="6" t="s">
        <v>52</v>
      </c>
      <c r="J33" s="5" t="s">
        <v>53</v>
      </c>
      <c r="K33" s="3" t="s">
        <v>290</v>
      </c>
      <c r="L33" s="6">
        <v>9.436484364E9</v>
      </c>
      <c r="M33" s="3" t="s">
        <v>38</v>
      </c>
      <c r="N33" s="3" t="s">
        <v>291</v>
      </c>
      <c r="O33" s="3" t="s">
        <v>153</v>
      </c>
      <c r="P33" s="3" t="s">
        <v>292</v>
      </c>
      <c r="Q33" s="3" t="s">
        <v>42</v>
      </c>
      <c r="R33" s="3"/>
      <c r="S33" s="3" t="s">
        <v>93</v>
      </c>
      <c r="T33" s="3" t="s">
        <v>46</v>
      </c>
      <c r="U33" s="3" t="s">
        <v>46</v>
      </c>
      <c r="V33" s="3" t="s">
        <v>46</v>
      </c>
      <c r="W33" s="3" t="s">
        <v>293</v>
      </c>
      <c r="X33" s="7">
        <v>1.82206120000804E14</v>
      </c>
      <c r="Y33" s="8">
        <v>8.66855162278E11</v>
      </c>
      <c r="Z33" s="8">
        <v>6.179708029E11</v>
      </c>
      <c r="AA33" s="8">
        <v>2.2416230622E10</v>
      </c>
      <c r="AB33" s="3" t="s">
        <v>46</v>
      </c>
      <c r="AC33" s="9">
        <v>1800.0</v>
      </c>
      <c r="AE33" s="10"/>
    </row>
    <row r="34" ht="15.75" customHeight="1">
      <c r="A34" s="3">
        <v>33.0</v>
      </c>
      <c r="B34" s="3" t="s">
        <v>30</v>
      </c>
      <c r="C34" s="3">
        <v>832.0</v>
      </c>
      <c r="D34" s="4">
        <v>44089.0</v>
      </c>
      <c r="E34" s="3" t="s">
        <v>294</v>
      </c>
      <c r="F34" s="3" t="s">
        <v>32</v>
      </c>
      <c r="G34" s="3" t="s">
        <v>235</v>
      </c>
      <c r="H34" s="3" t="s">
        <v>199</v>
      </c>
      <c r="I34" s="6" t="s">
        <v>52</v>
      </c>
      <c r="J34" s="5" t="s">
        <v>53</v>
      </c>
      <c r="K34" s="3" t="s">
        <v>236</v>
      </c>
      <c r="L34" s="3" t="s">
        <v>237</v>
      </c>
      <c r="M34" s="3" t="s">
        <v>238</v>
      </c>
      <c r="N34" s="3" t="s">
        <v>239</v>
      </c>
      <c r="O34" s="3" t="s">
        <v>111</v>
      </c>
      <c r="P34" s="3" t="s">
        <v>240</v>
      </c>
      <c r="Q34" s="3" t="s">
        <v>42</v>
      </c>
      <c r="R34" s="3"/>
      <c r="S34" s="3" t="s">
        <v>44</v>
      </c>
      <c r="T34" s="3" t="s">
        <v>46</v>
      </c>
      <c r="U34" s="3" t="s">
        <v>46</v>
      </c>
      <c r="V34" s="3" t="s">
        <v>46</v>
      </c>
      <c r="W34" s="3" t="s">
        <v>241</v>
      </c>
      <c r="X34" s="7">
        <v>1.82206120000832E14</v>
      </c>
      <c r="Y34" s="8">
        <v>6.55252211282E11</v>
      </c>
      <c r="Z34" s="8">
        <v>3.08400315853E11</v>
      </c>
      <c r="AA34" s="8">
        <v>2.2556150842E10</v>
      </c>
      <c r="AB34" s="3" t="s">
        <v>46</v>
      </c>
      <c r="AC34" s="9">
        <v>1800.0</v>
      </c>
      <c r="AE34" s="10"/>
    </row>
    <row r="35" ht="15.75" customHeight="1">
      <c r="A35" s="3">
        <v>34.0</v>
      </c>
      <c r="B35" s="3" t="s">
        <v>207</v>
      </c>
      <c r="C35" s="3">
        <v>845.0</v>
      </c>
      <c r="D35" s="4">
        <v>44328.0</v>
      </c>
      <c r="E35" s="3" t="s">
        <v>295</v>
      </c>
      <c r="F35" s="3" t="s">
        <v>62</v>
      </c>
      <c r="G35" s="3" t="s">
        <v>296</v>
      </c>
      <c r="H35" s="3" t="s">
        <v>199</v>
      </c>
      <c r="I35" s="6" t="s">
        <v>86</v>
      </c>
      <c r="J35" s="5" t="s">
        <v>53</v>
      </c>
      <c r="K35" s="3" t="s">
        <v>297</v>
      </c>
      <c r="L35" s="3" t="s">
        <v>298</v>
      </c>
      <c r="M35" s="3" t="s">
        <v>38</v>
      </c>
      <c r="N35" s="3" t="s">
        <v>299</v>
      </c>
      <c r="O35" s="3" t="s">
        <v>146</v>
      </c>
      <c r="P35" s="3" t="s">
        <v>292</v>
      </c>
      <c r="Q35" s="3" t="s">
        <v>87</v>
      </c>
      <c r="R35" s="3" t="s">
        <v>92</v>
      </c>
      <c r="S35" s="3" t="s">
        <v>93</v>
      </c>
      <c r="T35" s="3" t="s">
        <v>46</v>
      </c>
      <c r="U35" s="3" t="s">
        <v>46</v>
      </c>
      <c r="V35" s="3" t="s">
        <v>46</v>
      </c>
      <c r="W35" s="3" t="s">
        <v>300</v>
      </c>
      <c r="X35" s="7">
        <v>1.82206121000845E14</v>
      </c>
      <c r="Y35" s="8">
        <v>4.16151647946E11</v>
      </c>
      <c r="Z35" s="8">
        <v>4.39638087954E11</v>
      </c>
      <c r="AA35" s="8">
        <v>2.199109023E10</v>
      </c>
      <c r="AB35" s="3" t="s">
        <v>46</v>
      </c>
      <c r="AC35" s="9">
        <v>1800.0</v>
      </c>
      <c r="AE35" s="10"/>
    </row>
    <row r="36" ht="15.75" customHeight="1">
      <c r="A36" s="3">
        <v>35.0</v>
      </c>
      <c r="B36" s="3" t="s">
        <v>301</v>
      </c>
      <c r="C36" s="3">
        <v>1028.0</v>
      </c>
      <c r="D36" s="4">
        <v>45094.0</v>
      </c>
      <c r="E36" s="3" t="s">
        <v>302</v>
      </c>
      <c r="F36" s="3" t="s">
        <v>50</v>
      </c>
      <c r="G36" s="3" t="s">
        <v>303</v>
      </c>
      <c r="H36" s="3" t="s">
        <v>199</v>
      </c>
      <c r="I36" s="3" t="s">
        <v>107</v>
      </c>
      <c r="J36" s="5" t="s">
        <v>53</v>
      </c>
      <c r="K36" s="3" t="s">
        <v>304</v>
      </c>
      <c r="L36" s="3" t="s">
        <v>305</v>
      </c>
      <c r="M36" s="3" t="s">
        <v>38</v>
      </c>
      <c r="N36" s="3" t="s">
        <v>306</v>
      </c>
      <c r="O36" s="3" t="s">
        <v>57</v>
      </c>
      <c r="P36" s="3" t="s">
        <v>307</v>
      </c>
      <c r="Q36" s="3" t="s">
        <v>53</v>
      </c>
      <c r="R36" s="3" t="s">
        <v>308</v>
      </c>
      <c r="S36" s="3" t="s">
        <v>164</v>
      </c>
      <c r="T36" s="3" t="s">
        <v>46</v>
      </c>
      <c r="U36" s="3" t="s">
        <v>46</v>
      </c>
      <c r="V36" s="3" t="s">
        <v>46</v>
      </c>
      <c r="W36" s="3" t="s">
        <v>309</v>
      </c>
      <c r="X36" s="7">
        <v>1.82206123001028E14</v>
      </c>
      <c r="Y36" s="8">
        <v>6.21667079552E11</v>
      </c>
      <c r="Z36" s="8">
        <v>2.63258106697E11</v>
      </c>
      <c r="AA36" s="8">
        <v>2.2959295227E10</v>
      </c>
      <c r="AB36" s="3" t="s">
        <v>46</v>
      </c>
      <c r="AC36" s="9">
        <v>1800.0</v>
      </c>
      <c r="AE36" s="10"/>
    </row>
    <row r="37" ht="15.75" customHeight="1">
      <c r="A37" s="3">
        <v>36.0</v>
      </c>
      <c r="B37" s="3" t="s">
        <v>310</v>
      </c>
      <c r="C37" s="3">
        <v>1174.0</v>
      </c>
      <c r="D37" s="4">
        <v>45777.0</v>
      </c>
      <c r="E37" s="3" t="s">
        <v>311</v>
      </c>
      <c r="F37" s="3" t="s">
        <v>70</v>
      </c>
      <c r="G37" s="18">
        <v>41500.0</v>
      </c>
      <c r="H37" s="3" t="s">
        <v>199</v>
      </c>
      <c r="I37" s="6" t="s">
        <v>52</v>
      </c>
      <c r="J37" s="5" t="s">
        <v>87</v>
      </c>
      <c r="K37" s="3" t="s">
        <v>312</v>
      </c>
      <c r="L37" s="6">
        <v>8.974833883E9</v>
      </c>
      <c r="M37" s="3" t="s">
        <v>38</v>
      </c>
      <c r="N37" s="3" t="s">
        <v>313</v>
      </c>
      <c r="O37" s="3" t="s">
        <v>267</v>
      </c>
      <c r="P37" s="3" t="s">
        <v>314</v>
      </c>
      <c r="Q37" s="3" t="s">
        <v>36</v>
      </c>
      <c r="R37" s="3"/>
      <c r="S37" s="3" t="s">
        <v>44</v>
      </c>
      <c r="T37" s="3" t="s">
        <v>46</v>
      </c>
      <c r="U37" s="3" t="s">
        <v>46</v>
      </c>
      <c r="V37" s="3" t="s">
        <v>46</v>
      </c>
      <c r="W37" s="3" t="s">
        <v>165</v>
      </c>
      <c r="X37" s="7">
        <v>1.82206125001174E14</v>
      </c>
      <c r="Y37" s="8">
        <v>9.16533344222E11</v>
      </c>
      <c r="Z37" s="8">
        <v>2.48913171194E11</v>
      </c>
      <c r="AA37" s="8">
        <v>2.1868309306E10</v>
      </c>
      <c r="AB37" s="3" t="s">
        <v>45</v>
      </c>
      <c r="AC37" s="9">
        <v>1800.0</v>
      </c>
      <c r="AE37" s="10"/>
    </row>
    <row r="38" ht="15.75" customHeight="1">
      <c r="A38" s="3">
        <v>37.0</v>
      </c>
      <c r="B38" s="3" t="s">
        <v>30</v>
      </c>
      <c r="C38" s="3">
        <v>816.0</v>
      </c>
      <c r="D38" s="4">
        <v>44070.0</v>
      </c>
      <c r="E38" s="3" t="s">
        <v>315</v>
      </c>
      <c r="F38" s="3" t="s">
        <v>62</v>
      </c>
      <c r="G38" s="3" t="s">
        <v>316</v>
      </c>
      <c r="H38" s="3" t="s">
        <v>199</v>
      </c>
      <c r="I38" s="6" t="s">
        <v>86</v>
      </c>
      <c r="J38" s="5" t="s">
        <v>53</v>
      </c>
      <c r="K38" s="3" t="s">
        <v>317</v>
      </c>
      <c r="L38" s="3" t="s">
        <v>318</v>
      </c>
      <c r="M38" s="3" t="s">
        <v>38</v>
      </c>
      <c r="N38" s="3" t="s">
        <v>319</v>
      </c>
      <c r="O38" s="3" t="s">
        <v>57</v>
      </c>
      <c r="P38" s="3" t="s">
        <v>320</v>
      </c>
      <c r="Q38" s="3" t="s">
        <v>42</v>
      </c>
      <c r="R38" s="3"/>
      <c r="S38" s="3" t="s">
        <v>93</v>
      </c>
      <c r="T38" s="3" t="s">
        <v>46</v>
      </c>
      <c r="U38" s="3" t="s">
        <v>46</v>
      </c>
      <c r="V38" s="3" t="s">
        <v>46</v>
      </c>
      <c r="W38" s="3" t="s">
        <v>321</v>
      </c>
      <c r="X38" s="7">
        <v>1.82206120000816E14</v>
      </c>
      <c r="Y38" s="8">
        <v>9.67091386273E11</v>
      </c>
      <c r="Z38" s="8">
        <v>7.49542329152E11</v>
      </c>
      <c r="AA38" s="8">
        <v>2.2236837609E10</v>
      </c>
      <c r="AB38" s="3" t="s">
        <v>46</v>
      </c>
      <c r="AC38" s="9">
        <v>1800.0</v>
      </c>
      <c r="AE38" s="10"/>
    </row>
    <row r="39" ht="15.75" customHeight="1">
      <c r="A39" s="3">
        <v>38.0</v>
      </c>
      <c r="B39" s="3" t="s">
        <v>30</v>
      </c>
      <c r="C39" s="3">
        <v>793.0</v>
      </c>
      <c r="D39" s="4">
        <v>44063.0</v>
      </c>
      <c r="E39" s="3" t="s">
        <v>322</v>
      </c>
      <c r="F39" s="3" t="s">
        <v>70</v>
      </c>
      <c r="G39" s="3" t="s">
        <v>323</v>
      </c>
      <c r="H39" s="3" t="s">
        <v>199</v>
      </c>
      <c r="I39" s="3" t="s">
        <v>107</v>
      </c>
      <c r="J39" s="5" t="s">
        <v>36</v>
      </c>
      <c r="K39" s="3" t="s">
        <v>324</v>
      </c>
      <c r="L39" s="3" t="s">
        <v>325</v>
      </c>
      <c r="M39" s="3" t="s">
        <v>38</v>
      </c>
      <c r="N39" s="3" t="s">
        <v>132</v>
      </c>
      <c r="O39" s="3" t="s">
        <v>111</v>
      </c>
      <c r="P39" s="3" t="s">
        <v>326</v>
      </c>
      <c r="Q39" s="3" t="s">
        <v>42</v>
      </c>
      <c r="R39" s="11"/>
      <c r="S39" s="3" t="s">
        <v>103</v>
      </c>
      <c r="T39" s="3" t="s">
        <v>46</v>
      </c>
      <c r="U39" s="3" t="s">
        <v>46</v>
      </c>
      <c r="V39" s="3" t="s">
        <v>46</v>
      </c>
      <c r="W39" s="3" t="s">
        <v>327</v>
      </c>
      <c r="X39" s="7">
        <v>1.82206120000793E14</v>
      </c>
      <c r="Y39" s="8">
        <v>8.98549472918E11</v>
      </c>
      <c r="Z39" s="8">
        <v>9.01514074222E11</v>
      </c>
      <c r="AA39" s="8">
        <v>2.2145757227E10</v>
      </c>
      <c r="AB39" s="3" t="s">
        <v>46</v>
      </c>
      <c r="AC39" s="9">
        <v>1800.0</v>
      </c>
      <c r="AE39" s="10"/>
    </row>
    <row r="40" ht="15.75" customHeight="1">
      <c r="A40" s="3">
        <v>39.0</v>
      </c>
      <c r="B40" s="3" t="s">
        <v>30</v>
      </c>
      <c r="C40" s="3">
        <v>800.0</v>
      </c>
      <c r="D40" s="4">
        <v>44062.0</v>
      </c>
      <c r="E40" s="3" t="s">
        <v>328</v>
      </c>
      <c r="F40" s="3" t="s">
        <v>32</v>
      </c>
      <c r="G40" s="3" t="s">
        <v>329</v>
      </c>
      <c r="H40" s="3" t="s">
        <v>199</v>
      </c>
      <c r="I40" s="6" t="s">
        <v>86</v>
      </c>
      <c r="J40" s="5" t="s">
        <v>36</v>
      </c>
      <c r="K40" s="3" t="s">
        <v>330</v>
      </c>
      <c r="L40" s="6">
        <v>9.862671142E9</v>
      </c>
      <c r="M40" s="3" t="s">
        <v>111</v>
      </c>
      <c r="N40" s="3" t="s">
        <v>331</v>
      </c>
      <c r="O40" s="3" t="s">
        <v>111</v>
      </c>
      <c r="P40" s="3" t="s">
        <v>292</v>
      </c>
      <c r="Q40" s="3" t="s">
        <v>42</v>
      </c>
      <c r="R40" s="3" t="s">
        <v>20</v>
      </c>
      <c r="S40" s="3" t="s">
        <v>59</v>
      </c>
      <c r="T40" s="3" t="s">
        <v>46</v>
      </c>
      <c r="U40" s="3" t="s">
        <v>45</v>
      </c>
      <c r="V40" s="3" t="s">
        <v>46</v>
      </c>
      <c r="W40" s="3" t="s">
        <v>332</v>
      </c>
      <c r="X40" s="7">
        <v>1.822061200008E14</v>
      </c>
      <c r="Y40" s="8">
        <v>3.85615357977E11</v>
      </c>
      <c r="Z40" s="8">
        <v>5.52941388989E11</v>
      </c>
      <c r="AA40" s="8">
        <v>2.1889218125E10</v>
      </c>
      <c r="AB40" s="3" t="s">
        <v>46</v>
      </c>
      <c r="AC40" s="9">
        <v>0.0</v>
      </c>
      <c r="AE40" s="10"/>
    </row>
    <row r="41" ht="41.25" customHeight="1">
      <c r="A41" s="3">
        <v>40.0</v>
      </c>
      <c r="B41" s="3" t="s">
        <v>30</v>
      </c>
      <c r="C41" s="3">
        <v>826.0</v>
      </c>
      <c r="D41" s="4">
        <v>44081.0</v>
      </c>
      <c r="E41" s="3" t="s">
        <v>333</v>
      </c>
      <c r="F41" s="3" t="s">
        <v>50</v>
      </c>
      <c r="G41" s="3" t="s">
        <v>334</v>
      </c>
      <c r="H41" s="3" t="s">
        <v>199</v>
      </c>
      <c r="I41" s="3" t="s">
        <v>35</v>
      </c>
      <c r="J41" s="5" t="s">
        <v>53</v>
      </c>
      <c r="K41" s="3" t="s">
        <v>335</v>
      </c>
      <c r="L41" s="3" t="s">
        <v>336</v>
      </c>
      <c r="M41" s="3" t="s">
        <v>38</v>
      </c>
      <c r="N41" s="3" t="s">
        <v>337</v>
      </c>
      <c r="O41" s="3" t="s">
        <v>66</v>
      </c>
      <c r="P41" s="3" t="s">
        <v>66</v>
      </c>
      <c r="Q41" s="3" t="s">
        <v>42</v>
      </c>
      <c r="R41" s="3"/>
      <c r="S41" s="3" t="s">
        <v>93</v>
      </c>
      <c r="T41" s="3" t="s">
        <v>46</v>
      </c>
      <c r="U41" s="3" t="s">
        <v>46</v>
      </c>
      <c r="V41" s="3" t="s">
        <v>46</v>
      </c>
      <c r="W41" s="3" t="s">
        <v>338</v>
      </c>
      <c r="X41" s="7">
        <v>1.82206120000826E14</v>
      </c>
      <c r="Y41" s="8">
        <v>6.30417083446E11</v>
      </c>
      <c r="Z41" s="8">
        <v>5.18970265117E11</v>
      </c>
      <c r="AA41" s="8">
        <v>2.1888770495E10</v>
      </c>
      <c r="AB41" s="3" t="s">
        <v>46</v>
      </c>
      <c r="AC41" s="9">
        <v>1800.0</v>
      </c>
      <c r="AE41" s="10"/>
    </row>
    <row r="42" ht="15.75" customHeight="1">
      <c r="A42" s="3">
        <v>41.0</v>
      </c>
      <c r="B42" s="3" t="s">
        <v>30</v>
      </c>
      <c r="C42" s="3">
        <v>810.0</v>
      </c>
      <c r="D42" s="4">
        <v>44069.0</v>
      </c>
      <c r="E42" s="3" t="s">
        <v>339</v>
      </c>
      <c r="F42" s="3" t="s">
        <v>62</v>
      </c>
      <c r="G42" s="3" t="s">
        <v>340</v>
      </c>
      <c r="H42" s="3" t="s">
        <v>199</v>
      </c>
      <c r="I42" s="6" t="s">
        <v>86</v>
      </c>
      <c r="J42" s="5" t="s">
        <v>36</v>
      </c>
      <c r="K42" s="3" t="s">
        <v>341</v>
      </c>
      <c r="L42" s="6">
        <v>6.009349752E9</v>
      </c>
      <c r="M42" s="3" t="s">
        <v>38</v>
      </c>
      <c r="N42" s="3" t="s">
        <v>342</v>
      </c>
      <c r="O42" s="3" t="s">
        <v>111</v>
      </c>
      <c r="P42" s="3" t="s">
        <v>58</v>
      </c>
      <c r="Q42" s="3" t="s">
        <v>42</v>
      </c>
      <c r="R42" s="3" t="s">
        <v>20</v>
      </c>
      <c r="S42" s="3" t="s">
        <v>93</v>
      </c>
      <c r="T42" s="3" t="s">
        <v>46</v>
      </c>
      <c r="U42" s="3" t="s">
        <v>45</v>
      </c>
      <c r="V42" s="3" t="s">
        <v>46</v>
      </c>
      <c r="W42" s="3" t="s">
        <v>343</v>
      </c>
      <c r="X42" s="7">
        <v>1.8220612000081E14</v>
      </c>
      <c r="Y42" s="8">
        <v>4.65200280432E11</v>
      </c>
      <c r="Z42" s="8">
        <v>8.09891637196E11</v>
      </c>
      <c r="AA42" s="8">
        <v>2.2149771756E10</v>
      </c>
      <c r="AB42" s="3" t="s">
        <v>46</v>
      </c>
      <c r="AC42" s="9">
        <v>0.0</v>
      </c>
      <c r="AE42" s="10"/>
    </row>
    <row r="43" ht="15.75" customHeight="1">
      <c r="A43" s="3">
        <v>42.0</v>
      </c>
      <c r="B43" s="3" t="s">
        <v>30</v>
      </c>
      <c r="C43" s="3">
        <v>824.0</v>
      </c>
      <c r="D43" s="4">
        <v>44070.0</v>
      </c>
      <c r="E43" s="3" t="s">
        <v>344</v>
      </c>
      <c r="F43" s="3" t="s">
        <v>70</v>
      </c>
      <c r="G43" s="3" t="s">
        <v>345</v>
      </c>
      <c r="H43" s="3" t="s">
        <v>199</v>
      </c>
      <c r="I43" s="3" t="s">
        <v>116</v>
      </c>
      <c r="J43" s="5" t="s">
        <v>53</v>
      </c>
      <c r="K43" s="3" t="s">
        <v>346</v>
      </c>
      <c r="L43" s="6">
        <v>9.774444458E9</v>
      </c>
      <c r="M43" s="3" t="s">
        <v>347</v>
      </c>
      <c r="N43" s="3" t="s">
        <v>348</v>
      </c>
      <c r="O43" s="3" t="s">
        <v>349</v>
      </c>
      <c r="P43" s="3" t="s">
        <v>350</v>
      </c>
      <c r="Q43" s="3" t="s">
        <v>42</v>
      </c>
      <c r="R43" s="3"/>
      <c r="S43" s="3" t="s">
        <v>93</v>
      </c>
      <c r="T43" s="3" t="s">
        <v>46</v>
      </c>
      <c r="U43" s="3" t="s">
        <v>46</v>
      </c>
      <c r="V43" s="3" t="s">
        <v>46</v>
      </c>
      <c r="W43" s="3" t="s">
        <v>165</v>
      </c>
      <c r="X43" s="7">
        <v>1.82206120000824E14</v>
      </c>
      <c r="Y43" s="8">
        <v>7.61539395164E11</v>
      </c>
      <c r="Z43" s="8">
        <v>9.18757215795E11</v>
      </c>
      <c r="AA43" s="8">
        <v>2.1944828246E10</v>
      </c>
      <c r="AB43" s="3" t="s">
        <v>46</v>
      </c>
      <c r="AC43" s="9">
        <v>1800.0</v>
      </c>
      <c r="AE43" s="10"/>
    </row>
    <row r="44" ht="15.75" customHeight="1"/>
    <row r="45" ht="15.75" customHeight="1"/>
    <row r="46" ht="15.75" customHeight="1"/>
    <row r="47" ht="15.75" customHeight="1"/>
    <row r="48" ht="15.75" customHeight="1">
      <c r="C48" s="19" t="s">
        <v>351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scale="5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</cols>
  <sheetData>
    <row r="1">
      <c r="A1" s="20" t="s">
        <v>352</v>
      </c>
      <c r="B1" s="21"/>
      <c r="C1" s="21"/>
      <c r="D1" s="22"/>
    </row>
    <row r="2">
      <c r="A2" s="23" t="s">
        <v>8</v>
      </c>
      <c r="B2" s="24" t="s">
        <v>199</v>
      </c>
      <c r="C2" s="24" t="s">
        <v>34</v>
      </c>
      <c r="D2" s="25" t="s">
        <v>353</v>
      </c>
    </row>
    <row r="3">
      <c r="A3" s="26" t="s">
        <v>35</v>
      </c>
      <c r="B3" s="27">
        <f>COUNTIFS(AllStudentDetails!$I:$I, TRIM($A3), AllStudentDetails!$H:$H, B$2)</f>
        <v>6</v>
      </c>
      <c r="C3" s="27">
        <f>COUNTIFS(AllStudentDetails!$I:$I, TRIM($A3), AllStudentDetails!$H:$H, C$2)</f>
        <v>5</v>
      </c>
      <c r="D3" s="28">
        <f t="shared" ref="D3:D8" si="1">SUM(B3:C3)</f>
        <v>11</v>
      </c>
    </row>
    <row r="4">
      <c r="A4" s="29" t="s">
        <v>107</v>
      </c>
      <c r="B4" s="30">
        <f>COUNTIFS(AllStudentDetails!$I:$I, TRIM($A4), AllStudentDetails!$H:$H, B$2)</f>
        <v>3</v>
      </c>
      <c r="C4" s="30">
        <f>COUNTIFS(AllStudentDetails!$I:$I, TRIM($A4), AllStudentDetails!$H:$H, C$2)</f>
        <v>4</v>
      </c>
      <c r="D4" s="31">
        <f t="shared" si="1"/>
        <v>7</v>
      </c>
    </row>
    <row r="5">
      <c r="A5" s="26" t="s">
        <v>116</v>
      </c>
      <c r="B5" s="27">
        <f>COUNTIFS(AllStudentDetails!$I:$I, TRIM($A5), AllStudentDetails!$H:$H, B$2)</f>
        <v>3</v>
      </c>
      <c r="C5" s="27">
        <f>COUNTIFS(AllStudentDetails!$I:$I, TRIM($A5), AllStudentDetails!$H:$H, C$2)</f>
        <v>3</v>
      </c>
      <c r="D5" s="28">
        <f t="shared" si="1"/>
        <v>6</v>
      </c>
    </row>
    <row r="6">
      <c r="A6" s="29" t="s">
        <v>354</v>
      </c>
      <c r="B6" s="30">
        <f t="shared" ref="B6:C6" si="2">B7+B8</f>
        <v>11</v>
      </c>
      <c r="C6" s="30">
        <f t="shared" si="2"/>
        <v>7</v>
      </c>
      <c r="D6" s="31">
        <f t="shared" si="1"/>
        <v>18</v>
      </c>
    </row>
    <row r="7">
      <c r="A7" s="26" t="s">
        <v>355</v>
      </c>
      <c r="B7" s="27">
        <f>COUNTIFS(AllStudentDetails!$I:$I, TRIM($A7), AllStudentDetails!$H:$H, B$2)</f>
        <v>6</v>
      </c>
      <c r="C7" s="27">
        <f>COUNTIFS(AllStudentDetails!$I:$I, TRIM($A7), AllStudentDetails!$H:$H, C$2)</f>
        <v>1</v>
      </c>
      <c r="D7" s="28">
        <f t="shared" si="1"/>
        <v>7</v>
      </c>
    </row>
    <row r="8">
      <c r="A8" s="29" t="s">
        <v>356</v>
      </c>
      <c r="B8" s="30">
        <f>COUNTIFS(AllStudentDetails!$I:$I, TRIM($A8), AllStudentDetails!$H:$H, B$2)</f>
        <v>5</v>
      </c>
      <c r="C8" s="30">
        <f>COUNTIFS(AllStudentDetails!$I:$I, TRIM($A8), AllStudentDetails!$H:$H, C$2)</f>
        <v>6</v>
      </c>
      <c r="D8" s="31">
        <f t="shared" si="1"/>
        <v>11</v>
      </c>
    </row>
    <row r="9">
      <c r="A9" s="32" t="s">
        <v>353</v>
      </c>
      <c r="B9" s="33">
        <f t="shared" ref="B9:D9" si="3">SUM(B3:B5)+B6</f>
        <v>23</v>
      </c>
      <c r="C9" s="33">
        <f t="shared" si="3"/>
        <v>19</v>
      </c>
      <c r="D9" s="34">
        <f t="shared" si="3"/>
        <v>42</v>
      </c>
    </row>
    <row r="13">
      <c r="A13" s="35" t="s">
        <v>357</v>
      </c>
      <c r="B13" s="21"/>
      <c r="C13" s="21"/>
      <c r="D13" s="22"/>
    </row>
    <row r="14">
      <c r="A14" s="23" t="s">
        <v>9</v>
      </c>
      <c r="B14" s="24" t="s">
        <v>199</v>
      </c>
      <c r="C14" s="24" t="s">
        <v>34</v>
      </c>
      <c r="D14" s="25" t="s">
        <v>353</v>
      </c>
    </row>
    <row r="15">
      <c r="A15" s="26" t="s">
        <v>42</v>
      </c>
      <c r="B15" s="27">
        <f>COUNTIFS(AllStudentDetails!$J:$J, $A15, AllStudentDetails!$H:$H, B$14)</f>
        <v>3</v>
      </c>
      <c r="C15" s="27">
        <f>COUNTIFS(AllStudentDetails!$J:$J, $A15, AllStudentDetails!$H:$H, C$14)</f>
        <v>1</v>
      </c>
      <c r="D15" s="28">
        <f t="shared" ref="D15:D20" si="4">SUM(B15:C15)</f>
        <v>4</v>
      </c>
    </row>
    <row r="16">
      <c r="A16" s="36" t="s">
        <v>87</v>
      </c>
      <c r="B16" s="37">
        <f>COUNTIFS(AllStudentDetails!$J:$J, $A16, AllStudentDetails!$H:$H, B$14)</f>
        <v>2</v>
      </c>
      <c r="C16" s="37">
        <f>COUNTIFS(AllStudentDetails!$J:$J, $A16, AllStudentDetails!$H:$H, C$14)</f>
        <v>2</v>
      </c>
      <c r="D16" s="38">
        <f t="shared" si="4"/>
        <v>4</v>
      </c>
    </row>
    <row r="17">
      <c r="A17" s="26" t="s">
        <v>180</v>
      </c>
      <c r="B17" s="27">
        <f>COUNTIFS(AllStudentDetails!$J:$J, $A17, AllStudentDetails!$H:$H, B$14)</f>
        <v>0</v>
      </c>
      <c r="C17" s="27">
        <f>COUNTIFS(AllStudentDetails!$J:$J, $A17, AllStudentDetails!$H:$H, C$14)</f>
        <v>0</v>
      </c>
      <c r="D17" s="28">
        <f t="shared" si="4"/>
        <v>0</v>
      </c>
    </row>
    <row r="18">
      <c r="A18" s="36" t="s">
        <v>53</v>
      </c>
      <c r="B18" s="37">
        <f>COUNTIFS(AllStudentDetails!$J:$J, $A18, AllStudentDetails!$H:$H, B$14)</f>
        <v>13</v>
      </c>
      <c r="C18" s="37">
        <f>COUNTIFS(AllStudentDetails!$J:$J, $A18, AllStudentDetails!$H:$H, C$14)</f>
        <v>8</v>
      </c>
      <c r="D18" s="38">
        <f t="shared" si="4"/>
        <v>21</v>
      </c>
    </row>
    <row r="19">
      <c r="A19" s="26" t="s">
        <v>286</v>
      </c>
      <c r="B19" s="27">
        <f>COUNTIFS(AllStudentDetails!$J:$J, $A19, AllStudentDetails!$H:$H, B$14)</f>
        <v>0</v>
      </c>
      <c r="C19" s="27">
        <f>COUNTIFS(AllStudentDetails!$J:$J, $A19, AllStudentDetails!$H:$H, C$14)</f>
        <v>0</v>
      </c>
      <c r="D19" s="28">
        <f t="shared" si="4"/>
        <v>0</v>
      </c>
    </row>
    <row r="20">
      <c r="A20" s="36" t="s">
        <v>36</v>
      </c>
      <c r="B20" s="37">
        <f>COUNTIFS(AllStudentDetails!$J:$J, $A20, AllStudentDetails!$H:$H, B$14)</f>
        <v>5</v>
      </c>
      <c r="C20" s="37">
        <f>COUNTIFS(AllStudentDetails!$J:$J, $A20, AllStudentDetails!$H:$H, C$14)</f>
        <v>8</v>
      </c>
      <c r="D20" s="38">
        <f t="shared" si="4"/>
        <v>13</v>
      </c>
    </row>
    <row r="21">
      <c r="A21" s="39" t="s">
        <v>353</v>
      </c>
      <c r="B21" s="40">
        <f t="shared" ref="B21:D21" si="5">SUM(B15:B20)</f>
        <v>23</v>
      </c>
      <c r="C21" s="40">
        <f t="shared" si="5"/>
        <v>19</v>
      </c>
      <c r="D21" s="41">
        <f t="shared" si="5"/>
        <v>42</v>
      </c>
    </row>
    <row r="23">
      <c r="A23" s="42" t="s">
        <v>358</v>
      </c>
    </row>
    <row r="24">
      <c r="A24" s="43" t="s">
        <v>359</v>
      </c>
      <c r="B24" s="44" t="s">
        <v>360</v>
      </c>
      <c r="C24" s="44" t="s">
        <v>361</v>
      </c>
      <c r="D24" s="44" t="s">
        <v>362</v>
      </c>
      <c r="E24" s="45" t="s">
        <v>107</v>
      </c>
      <c r="F24" s="46"/>
      <c r="G24" s="45" t="s">
        <v>116</v>
      </c>
      <c r="H24" s="46"/>
      <c r="I24" s="45" t="s">
        <v>363</v>
      </c>
      <c r="J24" s="46"/>
      <c r="K24" s="45" t="s">
        <v>364</v>
      </c>
      <c r="L24" s="46"/>
      <c r="M24" s="45" t="s">
        <v>365</v>
      </c>
      <c r="N24" s="46"/>
      <c r="O24" s="45" t="s">
        <v>362</v>
      </c>
      <c r="P24" s="47"/>
      <c r="Q24" s="46"/>
      <c r="R24" s="45" t="s">
        <v>366</v>
      </c>
      <c r="S24" s="46"/>
      <c r="T24" s="45" t="s">
        <v>367</v>
      </c>
      <c r="U24" s="46"/>
      <c r="V24" s="45" t="s">
        <v>368</v>
      </c>
      <c r="W24" s="46"/>
      <c r="X24" s="45" t="s">
        <v>369</v>
      </c>
      <c r="Y24" s="46"/>
      <c r="Z24" s="45" t="s">
        <v>370</v>
      </c>
      <c r="AA24" s="46"/>
      <c r="AB24" s="45" t="s">
        <v>371</v>
      </c>
      <c r="AC24" s="46"/>
      <c r="AD24" s="48" t="s">
        <v>362</v>
      </c>
      <c r="AE24" s="47"/>
      <c r="AF24" s="46"/>
      <c r="AG24" s="49" t="s">
        <v>372</v>
      </c>
      <c r="AH24" s="47"/>
      <c r="AI24" s="46"/>
      <c r="AJ24" s="49" t="s">
        <v>373</v>
      </c>
      <c r="AK24" s="47"/>
      <c r="AL24" s="46"/>
      <c r="AM24" s="50" t="s">
        <v>43</v>
      </c>
      <c r="AN24" s="45" t="s">
        <v>374</v>
      </c>
      <c r="AO24" s="46"/>
      <c r="AP24" s="51" t="s">
        <v>375</v>
      </c>
      <c r="AQ24" s="45" t="s">
        <v>20</v>
      </c>
      <c r="AR24" s="46"/>
      <c r="AS24" s="45" t="s">
        <v>376</v>
      </c>
      <c r="AT24" s="46"/>
      <c r="AU24" s="52" t="s">
        <v>377</v>
      </c>
      <c r="AV24" s="46"/>
      <c r="AW24" s="52" t="s">
        <v>378</v>
      </c>
      <c r="AX24" s="46"/>
      <c r="AY24" s="53" t="s">
        <v>379</v>
      </c>
      <c r="AZ24" s="46"/>
      <c r="BA24" s="53" t="s">
        <v>276</v>
      </c>
      <c r="BB24" s="46"/>
      <c r="BC24" s="53" t="s">
        <v>380</v>
      </c>
      <c r="BD24" s="46"/>
      <c r="BE24" s="53" t="s">
        <v>381</v>
      </c>
      <c r="BF24" s="46"/>
      <c r="BG24" s="53" t="s">
        <v>382</v>
      </c>
      <c r="BH24" s="46"/>
      <c r="BI24" s="54" t="s">
        <v>383</v>
      </c>
      <c r="BJ24" s="47"/>
      <c r="BK24" s="46"/>
    </row>
    <row r="25">
      <c r="A25" s="55"/>
      <c r="B25" s="56" t="s">
        <v>384</v>
      </c>
      <c r="C25" s="56" t="s">
        <v>385</v>
      </c>
      <c r="D25" s="57"/>
      <c r="E25" s="44" t="s">
        <v>384</v>
      </c>
      <c r="F25" s="44" t="s">
        <v>385</v>
      </c>
      <c r="G25" s="44" t="s">
        <v>384</v>
      </c>
      <c r="H25" s="44" t="s">
        <v>385</v>
      </c>
      <c r="I25" s="44" t="s">
        <v>384</v>
      </c>
      <c r="J25" s="44" t="s">
        <v>385</v>
      </c>
      <c r="K25" s="44" t="s">
        <v>384</v>
      </c>
      <c r="L25" s="44" t="s">
        <v>385</v>
      </c>
      <c r="M25" s="44" t="s">
        <v>384</v>
      </c>
      <c r="N25" s="44" t="s">
        <v>385</v>
      </c>
      <c r="O25" s="44" t="s">
        <v>384</v>
      </c>
      <c r="P25" s="44" t="s">
        <v>385</v>
      </c>
      <c r="Q25" s="44" t="s">
        <v>386</v>
      </c>
      <c r="R25" s="44" t="s">
        <v>384</v>
      </c>
      <c r="S25" s="44" t="s">
        <v>385</v>
      </c>
      <c r="T25" s="44" t="s">
        <v>384</v>
      </c>
      <c r="U25" s="44" t="s">
        <v>385</v>
      </c>
      <c r="V25" s="44" t="s">
        <v>384</v>
      </c>
      <c r="W25" s="44" t="s">
        <v>385</v>
      </c>
      <c r="X25" s="44" t="s">
        <v>384</v>
      </c>
      <c r="Y25" s="44" t="s">
        <v>385</v>
      </c>
      <c r="Z25" s="44" t="s">
        <v>384</v>
      </c>
      <c r="AA25" s="44" t="s">
        <v>385</v>
      </c>
      <c r="AB25" s="44" t="s">
        <v>384</v>
      </c>
      <c r="AC25" s="44" t="s">
        <v>385</v>
      </c>
      <c r="AD25" s="58" t="s">
        <v>384</v>
      </c>
      <c r="AE25" s="58" t="s">
        <v>385</v>
      </c>
      <c r="AF25" s="59" t="s">
        <v>386</v>
      </c>
      <c r="AG25" s="60" t="s">
        <v>384</v>
      </c>
      <c r="AH25" s="60" t="s">
        <v>385</v>
      </c>
      <c r="AI25" s="60" t="s">
        <v>387</v>
      </c>
      <c r="AJ25" s="60" t="s">
        <v>384</v>
      </c>
      <c r="AK25" s="60" t="s">
        <v>385</v>
      </c>
      <c r="AL25" s="60" t="s">
        <v>387</v>
      </c>
      <c r="AM25" s="61"/>
      <c r="AN25" s="44" t="s">
        <v>384</v>
      </c>
      <c r="AO25" s="44" t="s">
        <v>385</v>
      </c>
      <c r="AP25" s="44">
        <v>0.0</v>
      </c>
      <c r="AQ25" s="44" t="s">
        <v>384</v>
      </c>
      <c r="AR25" s="44" t="s">
        <v>385</v>
      </c>
      <c r="AS25" s="44" t="s">
        <v>384</v>
      </c>
      <c r="AT25" s="44" t="s">
        <v>385</v>
      </c>
      <c r="AU25" s="62" t="s">
        <v>384</v>
      </c>
      <c r="AV25" s="62" t="s">
        <v>385</v>
      </c>
      <c r="AW25" s="62" t="s">
        <v>384</v>
      </c>
      <c r="AX25" s="62" t="s">
        <v>385</v>
      </c>
      <c r="AY25" s="62" t="s">
        <v>384</v>
      </c>
      <c r="AZ25" s="62" t="s">
        <v>385</v>
      </c>
      <c r="BA25" s="62" t="s">
        <v>384</v>
      </c>
      <c r="BB25" s="62" t="s">
        <v>385</v>
      </c>
      <c r="BC25" s="62" t="s">
        <v>384</v>
      </c>
      <c r="BD25" s="62" t="s">
        <v>385</v>
      </c>
      <c r="BE25" s="62" t="s">
        <v>384</v>
      </c>
      <c r="BF25" s="62" t="s">
        <v>385</v>
      </c>
      <c r="BG25" s="62" t="s">
        <v>384</v>
      </c>
      <c r="BH25" s="62" t="s">
        <v>385</v>
      </c>
      <c r="BI25" s="63" t="s">
        <v>384</v>
      </c>
      <c r="BJ25" s="63" t="s">
        <v>385</v>
      </c>
      <c r="BK25" s="64" t="s">
        <v>388</v>
      </c>
    </row>
    <row r="26">
      <c r="A26" s="65" t="s">
        <v>36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</row>
  </sheetData>
  <mergeCells count="29">
    <mergeCell ref="A1:D1"/>
    <mergeCell ref="A13:D13"/>
    <mergeCell ref="E24:F24"/>
    <mergeCell ref="G24:H24"/>
    <mergeCell ref="I24:J24"/>
    <mergeCell ref="K24:L24"/>
    <mergeCell ref="M24:N24"/>
    <mergeCell ref="O24:Q24"/>
    <mergeCell ref="R24:S24"/>
    <mergeCell ref="T24:U24"/>
    <mergeCell ref="V24:W24"/>
    <mergeCell ref="X24:Y24"/>
    <mergeCell ref="Z24:AA24"/>
    <mergeCell ref="AB24:AC24"/>
    <mergeCell ref="AU24:AV24"/>
    <mergeCell ref="AW24:AX24"/>
    <mergeCell ref="AY24:AZ24"/>
    <mergeCell ref="BA24:BB24"/>
    <mergeCell ref="BC24:BD24"/>
    <mergeCell ref="BE24:BF24"/>
    <mergeCell ref="BG24:BH24"/>
    <mergeCell ref="BI24:BK24"/>
    <mergeCell ref="AD24:AF24"/>
    <mergeCell ref="AG24:AI24"/>
    <mergeCell ref="AJ24:AL24"/>
    <mergeCell ref="AM24:AM25"/>
    <mergeCell ref="AN24:AO24"/>
    <mergeCell ref="AQ24:AR24"/>
    <mergeCell ref="AS24:AT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25.86"/>
    <col customWidth="1" min="5" max="5" width="26.71"/>
    <col customWidth="1" min="8" max="8" width="18.86"/>
  </cols>
  <sheetData>
    <row r="4">
      <c r="G4" s="67"/>
    </row>
    <row r="5">
      <c r="G5" s="67"/>
    </row>
    <row r="6">
      <c r="G6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71"/>
    <col customWidth="1" min="3" max="3" width="8.71"/>
    <col customWidth="1" min="4" max="5" width="25.71"/>
    <col customWidth="1" min="6" max="25" width="8.71"/>
  </cols>
  <sheetData>
    <row r="1">
      <c r="A1" s="68" t="s">
        <v>389</v>
      </c>
    </row>
    <row r="2">
      <c r="A2" s="68" t="s">
        <v>390</v>
      </c>
    </row>
    <row r="4">
      <c r="A4" s="69" t="s">
        <v>391</v>
      </c>
      <c r="B4" s="70"/>
      <c r="D4" s="69" t="s">
        <v>392</v>
      </c>
      <c r="E4" s="70"/>
    </row>
    <row r="5">
      <c r="A5" s="71" t="s">
        <v>360</v>
      </c>
      <c r="B5" s="71" t="s">
        <v>361</v>
      </c>
      <c r="C5" s="72"/>
      <c r="D5" s="71" t="s">
        <v>360</v>
      </c>
      <c r="E5" s="71" t="s">
        <v>361</v>
      </c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3" t="s">
        <v>228</v>
      </c>
      <c r="B6" s="74" t="s">
        <v>31</v>
      </c>
      <c r="D6" s="73" t="s">
        <v>222</v>
      </c>
      <c r="E6" s="74" t="s">
        <v>69</v>
      </c>
    </row>
    <row r="7">
      <c r="A7" s="75" t="s">
        <v>242</v>
      </c>
      <c r="B7" s="76" t="s">
        <v>77</v>
      </c>
      <c r="D7" s="75" t="s">
        <v>255</v>
      </c>
      <c r="E7" s="76" t="s">
        <v>105</v>
      </c>
    </row>
    <row r="8">
      <c r="A8" s="75" t="s">
        <v>262</v>
      </c>
      <c r="B8" s="76" t="s">
        <v>114</v>
      </c>
      <c r="D8" s="75" t="s">
        <v>393</v>
      </c>
      <c r="E8" s="76" t="s">
        <v>149</v>
      </c>
    </row>
    <row r="9">
      <c r="A9" s="75" t="s">
        <v>294</v>
      </c>
      <c r="B9" s="76" t="s">
        <v>157</v>
      </c>
      <c r="D9" s="75" t="s">
        <v>311</v>
      </c>
      <c r="E9" s="76" t="s">
        <v>182</v>
      </c>
    </row>
    <row r="10">
      <c r="A10" s="75" t="s">
        <v>328</v>
      </c>
      <c r="B10" s="76" t="s">
        <v>190</v>
      </c>
      <c r="D10" s="75" t="s">
        <v>322</v>
      </c>
      <c r="E10" s="76"/>
    </row>
    <row r="11">
      <c r="A11" s="77"/>
      <c r="B11" s="78"/>
      <c r="D11" s="77"/>
      <c r="E11" s="78"/>
    </row>
    <row r="13">
      <c r="A13" s="69" t="s">
        <v>394</v>
      </c>
      <c r="B13" s="70"/>
      <c r="D13" s="69" t="s">
        <v>395</v>
      </c>
      <c r="E13" s="70"/>
    </row>
    <row r="14">
      <c r="A14" s="71" t="s">
        <v>360</v>
      </c>
      <c r="B14" s="71" t="s">
        <v>361</v>
      </c>
      <c r="C14" s="72"/>
      <c r="D14" s="71" t="s">
        <v>360</v>
      </c>
      <c r="E14" s="71" t="s">
        <v>361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3" t="s">
        <v>197</v>
      </c>
      <c r="B15" s="74" t="s">
        <v>61</v>
      </c>
      <c r="D15" s="73" t="s">
        <v>209</v>
      </c>
      <c r="E15" s="74" t="s">
        <v>49</v>
      </c>
    </row>
    <row r="16">
      <c r="A16" s="75" t="s">
        <v>234</v>
      </c>
      <c r="B16" s="76" t="s">
        <v>95</v>
      </c>
      <c r="D16" s="75" t="s">
        <v>217</v>
      </c>
      <c r="E16" s="76" t="s">
        <v>84</v>
      </c>
    </row>
    <row r="17">
      <c r="A17" s="75" t="s">
        <v>248</v>
      </c>
      <c r="B17" s="76" t="s">
        <v>135</v>
      </c>
      <c r="D17" s="75" t="s">
        <v>271</v>
      </c>
      <c r="E17" s="76" t="s">
        <v>120</v>
      </c>
    </row>
    <row r="18">
      <c r="A18" s="75" t="s">
        <v>288</v>
      </c>
      <c r="B18" s="76" t="s">
        <v>142</v>
      </c>
      <c r="D18" s="75" t="s">
        <v>302</v>
      </c>
      <c r="E18" s="76" t="s">
        <v>128</v>
      </c>
    </row>
    <row r="19">
      <c r="A19" s="75" t="s">
        <v>295</v>
      </c>
      <c r="B19" s="76"/>
      <c r="D19" s="75" t="s">
        <v>333</v>
      </c>
      <c r="E19" s="76" t="s">
        <v>167</v>
      </c>
    </row>
    <row r="20">
      <c r="A20" s="75" t="s">
        <v>315</v>
      </c>
      <c r="B20" s="76"/>
      <c r="D20" s="75"/>
      <c r="E20" s="76" t="s">
        <v>175</v>
      </c>
    </row>
    <row r="21" ht="15.75" customHeight="1">
      <c r="A21" s="75" t="s">
        <v>339</v>
      </c>
      <c r="B21" s="76"/>
      <c r="D21" s="75"/>
      <c r="E21" s="76"/>
    </row>
    <row r="22" ht="15.75" customHeight="1">
      <c r="A22" s="77"/>
      <c r="B22" s="78"/>
      <c r="D22" s="77"/>
      <c r="E22" s="7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4:B4"/>
    <mergeCell ref="D4:E4"/>
    <mergeCell ref="A13:B13"/>
    <mergeCell ref="D13:E1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68" t="s">
        <v>389</v>
      </c>
    </row>
    <row r="2">
      <c r="A2" s="68" t="s">
        <v>390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8" t="s">
        <v>389</v>
      </c>
    </row>
    <row r="2">
      <c r="A2" s="68" t="s">
        <v>390</v>
      </c>
    </row>
    <row r="3">
      <c r="A3" s="68" t="s">
        <v>396</v>
      </c>
    </row>
    <row r="4">
      <c r="A4" s="79" t="s">
        <v>397</v>
      </c>
      <c r="B4" s="80"/>
      <c r="D4" s="79" t="s">
        <v>398</v>
      </c>
      <c r="E4" s="80"/>
      <c r="G4" s="79" t="s">
        <v>399</v>
      </c>
      <c r="H4" s="80"/>
      <c r="J4" s="79" t="s">
        <v>400</v>
      </c>
      <c r="K4" s="80"/>
    </row>
    <row r="5">
      <c r="A5" s="81">
        <v>17.0</v>
      </c>
      <c r="B5" s="82">
        <v>8.0</v>
      </c>
      <c r="C5" s="83"/>
      <c r="D5" s="81">
        <v>21.0</v>
      </c>
      <c r="E5" s="82">
        <v>40.0</v>
      </c>
      <c r="F5" s="83"/>
      <c r="G5" s="81">
        <v>37.0</v>
      </c>
      <c r="H5" s="82">
        <v>29.0</v>
      </c>
      <c r="I5" s="83"/>
      <c r="J5" s="81">
        <v>27.0</v>
      </c>
      <c r="K5" s="82">
        <v>30.0</v>
      </c>
    </row>
    <row r="6">
      <c r="A6" s="84">
        <v>1.0</v>
      </c>
      <c r="B6" s="85">
        <v>2.0</v>
      </c>
      <c r="C6" s="83"/>
      <c r="D6" s="84">
        <v>20.0</v>
      </c>
      <c r="E6" s="85">
        <v>23.0</v>
      </c>
      <c r="F6" s="83"/>
      <c r="G6" s="84">
        <v>10.0</v>
      </c>
      <c r="H6" s="85">
        <v>11.0</v>
      </c>
      <c r="I6" s="83"/>
      <c r="J6" s="84">
        <v>32.0</v>
      </c>
      <c r="K6" s="85">
        <v>33.0</v>
      </c>
    </row>
    <row r="7">
      <c r="A7" s="84">
        <v>3.0</v>
      </c>
      <c r="B7" s="85">
        <v>4.0</v>
      </c>
      <c r="C7" s="83"/>
      <c r="D7" s="84">
        <v>24.0</v>
      </c>
      <c r="E7" s="85">
        <v>25.0</v>
      </c>
      <c r="F7" s="83"/>
      <c r="G7" s="84">
        <v>12.0</v>
      </c>
      <c r="H7" s="85">
        <v>13.0</v>
      </c>
      <c r="I7" s="83"/>
      <c r="J7" s="84">
        <v>34.0</v>
      </c>
      <c r="K7" s="85">
        <v>35.0</v>
      </c>
    </row>
    <row r="8">
      <c r="A8" s="84">
        <v>5.0</v>
      </c>
      <c r="B8" s="85">
        <v>6.0</v>
      </c>
      <c r="C8" s="83"/>
      <c r="D8" s="84">
        <v>26.0</v>
      </c>
      <c r="E8" s="85">
        <v>22.0</v>
      </c>
      <c r="F8" s="83"/>
      <c r="G8" s="84">
        <v>14.0</v>
      </c>
      <c r="H8" s="85">
        <v>15.0</v>
      </c>
      <c r="I8" s="83"/>
      <c r="J8" s="84">
        <v>36.0</v>
      </c>
      <c r="K8" s="85">
        <v>38.0</v>
      </c>
    </row>
    <row r="9">
      <c r="A9" s="84">
        <v>7.0</v>
      </c>
      <c r="B9" s="85">
        <v>9.0</v>
      </c>
      <c r="C9" s="83"/>
      <c r="D9" s="84">
        <v>28.0</v>
      </c>
      <c r="E9" s="85">
        <v>31.0</v>
      </c>
      <c r="F9" s="83"/>
      <c r="G9" s="84">
        <v>16.0</v>
      </c>
      <c r="H9" s="85">
        <v>18.0</v>
      </c>
      <c r="I9" s="83"/>
      <c r="J9" s="84">
        <v>39.0</v>
      </c>
      <c r="K9" s="85">
        <v>41.0</v>
      </c>
    </row>
    <row r="10">
      <c r="A10" s="86"/>
      <c r="B10" s="87"/>
      <c r="C10" s="88"/>
      <c r="D10" s="86"/>
      <c r="E10" s="87"/>
      <c r="F10" s="88"/>
      <c r="G10" s="86">
        <v>19.0</v>
      </c>
      <c r="H10" s="87"/>
      <c r="I10" s="88"/>
      <c r="J10" s="86">
        <v>42.0</v>
      </c>
      <c r="K10" s="87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4">
      <c r="A14" s="68" t="s">
        <v>389</v>
      </c>
    </row>
    <row r="15">
      <c r="A15" s="68" t="s">
        <v>390</v>
      </c>
    </row>
    <row r="16">
      <c r="A16" s="68" t="s">
        <v>401</v>
      </c>
    </row>
    <row r="17">
      <c r="A17" s="79" t="s">
        <v>397</v>
      </c>
      <c r="B17" s="80"/>
      <c r="D17" s="79" t="s">
        <v>398</v>
      </c>
      <c r="E17" s="80"/>
      <c r="G17" s="79" t="s">
        <v>399</v>
      </c>
      <c r="H17" s="80"/>
      <c r="J17" s="79" t="s">
        <v>400</v>
      </c>
      <c r="K17" s="80"/>
    </row>
    <row r="18">
      <c r="A18" s="81">
        <v>17.0</v>
      </c>
      <c r="B18" s="82">
        <v>8.0</v>
      </c>
      <c r="C18" s="83"/>
      <c r="D18" s="81">
        <v>21.0</v>
      </c>
      <c r="E18" s="82">
        <v>40.0</v>
      </c>
      <c r="F18" s="83"/>
      <c r="G18" s="81">
        <v>37.0</v>
      </c>
      <c r="H18" s="82">
        <v>29.0</v>
      </c>
      <c r="I18" s="83"/>
      <c r="J18" s="81">
        <v>27.0</v>
      </c>
      <c r="K18" s="82">
        <v>30.0</v>
      </c>
    </row>
    <row r="19">
      <c r="A19" s="84">
        <v>7.0</v>
      </c>
      <c r="B19" s="85">
        <v>9.0</v>
      </c>
      <c r="C19" s="83"/>
      <c r="D19" s="84">
        <v>28.0</v>
      </c>
      <c r="E19" s="85">
        <v>31.0</v>
      </c>
      <c r="F19" s="83"/>
      <c r="G19" s="84">
        <v>19.0</v>
      </c>
      <c r="H19" s="85"/>
      <c r="I19" s="83"/>
      <c r="J19" s="84">
        <v>42.0</v>
      </c>
      <c r="K19" s="85"/>
    </row>
    <row r="20">
      <c r="A20" s="84">
        <v>1.0</v>
      </c>
      <c r="B20" s="85">
        <v>2.0</v>
      </c>
      <c r="C20" s="83"/>
      <c r="D20" s="84">
        <v>20.0</v>
      </c>
      <c r="E20" s="85">
        <v>23.0</v>
      </c>
      <c r="F20" s="83"/>
      <c r="G20" s="84">
        <v>16.0</v>
      </c>
      <c r="H20" s="85">
        <v>18.0</v>
      </c>
      <c r="I20" s="83"/>
      <c r="J20" s="84">
        <v>39.0</v>
      </c>
      <c r="K20" s="85">
        <v>41.0</v>
      </c>
    </row>
    <row r="21" ht="15.75" customHeight="1">
      <c r="A21" s="84">
        <v>3.0</v>
      </c>
      <c r="B21" s="85">
        <v>4.0</v>
      </c>
      <c r="C21" s="83"/>
      <c r="D21" s="84">
        <v>24.0</v>
      </c>
      <c r="E21" s="85">
        <v>25.0</v>
      </c>
      <c r="F21" s="83"/>
      <c r="G21" s="84">
        <v>10.0</v>
      </c>
      <c r="H21" s="85">
        <v>11.0</v>
      </c>
      <c r="I21" s="83"/>
      <c r="J21" s="84">
        <v>32.0</v>
      </c>
      <c r="K21" s="85">
        <v>33.0</v>
      </c>
    </row>
    <row r="22" ht="15.75" customHeight="1">
      <c r="A22" s="84">
        <v>5.0</v>
      </c>
      <c r="B22" s="85">
        <v>6.0</v>
      </c>
      <c r="C22" s="83"/>
      <c r="D22" s="84">
        <v>26.0</v>
      </c>
      <c r="E22" s="85">
        <v>22.0</v>
      </c>
      <c r="F22" s="83"/>
      <c r="G22" s="84">
        <v>12.0</v>
      </c>
      <c r="H22" s="85">
        <v>13.0</v>
      </c>
      <c r="I22" s="83"/>
      <c r="J22" s="84">
        <v>34.0</v>
      </c>
      <c r="K22" s="85">
        <v>35.0</v>
      </c>
    </row>
    <row r="23" ht="15.75" customHeight="1">
      <c r="A23" s="86"/>
      <c r="B23" s="87"/>
      <c r="C23" s="88"/>
      <c r="D23" s="86"/>
      <c r="E23" s="87"/>
      <c r="F23" s="88"/>
      <c r="G23" s="86">
        <v>14.0</v>
      </c>
      <c r="H23" s="87">
        <v>15.0</v>
      </c>
      <c r="I23" s="88"/>
      <c r="J23" s="86">
        <v>36.0</v>
      </c>
      <c r="K23" s="87">
        <v>38.0</v>
      </c>
    </row>
    <row r="24" ht="15.75" customHeight="1"/>
    <row r="25" ht="15.75" customHeight="1"/>
    <row r="26" ht="15.75" customHeight="1"/>
    <row r="27" ht="15.75" customHeight="1">
      <c r="A27" s="68" t="s">
        <v>389</v>
      </c>
    </row>
    <row r="28" ht="15.75" customHeight="1">
      <c r="A28" s="68" t="s">
        <v>390</v>
      </c>
    </row>
    <row r="29" ht="15.75" customHeight="1">
      <c r="A29" s="68" t="s">
        <v>402</v>
      </c>
    </row>
    <row r="30" ht="15.75" customHeight="1">
      <c r="A30" s="79" t="s">
        <v>397</v>
      </c>
      <c r="B30" s="80"/>
      <c r="D30" s="79" t="s">
        <v>398</v>
      </c>
      <c r="E30" s="80"/>
      <c r="G30" s="79" t="s">
        <v>399</v>
      </c>
      <c r="H30" s="80"/>
      <c r="J30" s="79" t="s">
        <v>400</v>
      </c>
      <c r="K30" s="80"/>
    </row>
    <row r="31" ht="15.75" customHeight="1">
      <c r="A31" s="81">
        <v>17.0</v>
      </c>
      <c r="B31" s="82">
        <v>8.0</v>
      </c>
      <c r="C31" s="83"/>
      <c r="D31" s="81">
        <v>21.0</v>
      </c>
      <c r="E31" s="82">
        <v>40.0</v>
      </c>
      <c r="F31" s="83"/>
      <c r="G31" s="81">
        <v>37.0</v>
      </c>
      <c r="H31" s="82">
        <v>29.0</v>
      </c>
      <c r="I31" s="83"/>
      <c r="J31" s="81">
        <v>27.0</v>
      </c>
      <c r="K31" s="82">
        <v>30.0</v>
      </c>
    </row>
    <row r="32" ht="15.75" customHeight="1">
      <c r="A32" s="84">
        <v>5.0</v>
      </c>
      <c r="B32" s="85">
        <v>6.0</v>
      </c>
      <c r="C32" s="83"/>
      <c r="D32" s="84">
        <v>26.0</v>
      </c>
      <c r="E32" s="85">
        <v>22.0</v>
      </c>
      <c r="F32" s="83"/>
      <c r="G32" s="84">
        <v>14.0</v>
      </c>
      <c r="H32" s="85">
        <v>15.0</v>
      </c>
      <c r="I32" s="83"/>
      <c r="J32" s="84">
        <v>36.0</v>
      </c>
      <c r="K32" s="85">
        <v>38.0</v>
      </c>
    </row>
    <row r="33" ht="15.75" customHeight="1">
      <c r="A33" s="84">
        <v>7.0</v>
      </c>
      <c r="B33" s="85">
        <v>9.0</v>
      </c>
      <c r="C33" s="83"/>
      <c r="D33" s="84">
        <v>28.0</v>
      </c>
      <c r="E33" s="85">
        <v>31.0</v>
      </c>
      <c r="F33" s="83"/>
      <c r="G33" s="84">
        <v>19.0</v>
      </c>
      <c r="H33" s="85"/>
      <c r="I33" s="83"/>
      <c r="J33" s="84">
        <v>42.0</v>
      </c>
      <c r="K33" s="85"/>
    </row>
    <row r="34" ht="15.75" customHeight="1">
      <c r="A34" s="84">
        <v>1.0</v>
      </c>
      <c r="B34" s="85">
        <v>2.0</v>
      </c>
      <c r="C34" s="83"/>
      <c r="D34" s="84">
        <v>20.0</v>
      </c>
      <c r="E34" s="85">
        <v>23.0</v>
      </c>
      <c r="F34" s="83"/>
      <c r="G34" s="84">
        <v>16.0</v>
      </c>
      <c r="H34" s="85">
        <v>18.0</v>
      </c>
      <c r="I34" s="83"/>
      <c r="J34" s="84">
        <v>39.0</v>
      </c>
      <c r="K34" s="85">
        <v>41.0</v>
      </c>
    </row>
    <row r="35" ht="15.75" customHeight="1">
      <c r="A35" s="84">
        <v>3.0</v>
      </c>
      <c r="B35" s="85">
        <v>4.0</v>
      </c>
      <c r="C35" s="83"/>
      <c r="D35" s="84">
        <v>24.0</v>
      </c>
      <c r="E35" s="85">
        <v>25.0</v>
      </c>
      <c r="F35" s="83"/>
      <c r="G35" s="84">
        <v>10.0</v>
      </c>
      <c r="H35" s="85">
        <v>11.0</v>
      </c>
      <c r="I35" s="83"/>
      <c r="J35" s="84">
        <v>32.0</v>
      </c>
      <c r="K35" s="85">
        <v>33.0</v>
      </c>
    </row>
    <row r="36" ht="15.75" customHeight="1">
      <c r="A36" s="86"/>
      <c r="B36" s="87"/>
      <c r="C36" s="88"/>
      <c r="D36" s="84"/>
      <c r="E36" s="85"/>
      <c r="F36" s="88"/>
      <c r="G36" s="86">
        <v>12.0</v>
      </c>
      <c r="H36" s="87">
        <v>13.0</v>
      </c>
      <c r="I36" s="88"/>
      <c r="J36" s="86">
        <v>34.0</v>
      </c>
      <c r="K36" s="87">
        <v>35.0</v>
      </c>
    </row>
    <row r="37" ht="15.75" customHeight="1"/>
    <row r="38" ht="15.75" customHeight="1"/>
    <row r="39" ht="15.75" customHeight="1"/>
    <row r="40" ht="15.75" customHeight="1">
      <c r="A40" s="68" t="s">
        <v>389</v>
      </c>
    </row>
    <row r="41" ht="15.75" customHeight="1">
      <c r="A41" s="68" t="s">
        <v>390</v>
      </c>
    </row>
    <row r="42" ht="15.75" customHeight="1">
      <c r="A42" s="68" t="s">
        <v>403</v>
      </c>
    </row>
    <row r="43" ht="15.75" customHeight="1">
      <c r="A43" s="79" t="s">
        <v>397</v>
      </c>
      <c r="B43" s="80"/>
      <c r="D43" s="79" t="s">
        <v>398</v>
      </c>
      <c r="E43" s="80"/>
      <c r="G43" s="79" t="s">
        <v>399</v>
      </c>
      <c r="H43" s="80"/>
      <c r="J43" s="79" t="s">
        <v>400</v>
      </c>
      <c r="K43" s="80"/>
    </row>
    <row r="44" ht="15.75" customHeight="1">
      <c r="A44" s="81">
        <v>17.0</v>
      </c>
      <c r="B44" s="82">
        <v>8.0</v>
      </c>
      <c r="C44" s="83"/>
      <c r="D44" s="81">
        <v>21.0</v>
      </c>
      <c r="E44" s="82">
        <v>40.0</v>
      </c>
      <c r="F44" s="83"/>
      <c r="G44" s="81">
        <v>37.0</v>
      </c>
      <c r="H44" s="82">
        <v>29.0</v>
      </c>
      <c r="I44" s="83"/>
      <c r="J44" s="81">
        <v>27.0</v>
      </c>
      <c r="K44" s="82">
        <v>30.0</v>
      </c>
    </row>
    <row r="45" ht="15.75" customHeight="1">
      <c r="A45" s="84">
        <v>3.0</v>
      </c>
      <c r="B45" s="85">
        <v>4.0</v>
      </c>
      <c r="C45" s="83"/>
      <c r="D45" s="84">
        <v>24.0</v>
      </c>
      <c r="E45" s="85">
        <v>25.0</v>
      </c>
      <c r="F45" s="83"/>
      <c r="G45" s="84">
        <v>12.0</v>
      </c>
      <c r="H45" s="85">
        <v>13.0</v>
      </c>
      <c r="I45" s="83"/>
      <c r="J45" s="84">
        <v>34.0</v>
      </c>
      <c r="K45" s="85">
        <v>35.0</v>
      </c>
    </row>
    <row r="46" ht="15.75" customHeight="1">
      <c r="A46" s="84">
        <v>5.0</v>
      </c>
      <c r="B46" s="85">
        <v>6.0</v>
      </c>
      <c r="C46" s="83"/>
      <c r="D46" s="84">
        <v>26.0</v>
      </c>
      <c r="E46" s="85">
        <v>22.0</v>
      </c>
      <c r="F46" s="83"/>
      <c r="G46" s="84">
        <v>14.0</v>
      </c>
      <c r="H46" s="85">
        <v>15.0</v>
      </c>
      <c r="I46" s="83"/>
      <c r="J46" s="84">
        <v>36.0</v>
      </c>
      <c r="K46" s="85">
        <v>38.0</v>
      </c>
    </row>
    <row r="47" ht="15.75" customHeight="1">
      <c r="A47" s="84">
        <v>7.0</v>
      </c>
      <c r="B47" s="85">
        <v>9.0</v>
      </c>
      <c r="C47" s="83"/>
      <c r="D47" s="84">
        <v>28.0</v>
      </c>
      <c r="E47" s="85">
        <v>31.0</v>
      </c>
      <c r="F47" s="83"/>
      <c r="G47" s="84">
        <v>19.0</v>
      </c>
      <c r="H47" s="85"/>
      <c r="I47" s="83"/>
      <c r="J47" s="84">
        <v>42.0</v>
      </c>
      <c r="K47" s="85"/>
    </row>
    <row r="48" ht="15.75" customHeight="1">
      <c r="A48" s="84">
        <v>1.0</v>
      </c>
      <c r="B48" s="85">
        <v>2.0</v>
      </c>
      <c r="C48" s="83"/>
      <c r="D48" s="84">
        <v>20.0</v>
      </c>
      <c r="E48" s="85">
        <v>23.0</v>
      </c>
      <c r="F48" s="83"/>
      <c r="G48" s="84">
        <v>16.0</v>
      </c>
      <c r="H48" s="85">
        <v>18.0</v>
      </c>
      <c r="I48" s="83"/>
      <c r="J48" s="84">
        <v>39.0</v>
      </c>
      <c r="K48" s="85">
        <v>41.0</v>
      </c>
    </row>
    <row r="49" ht="15.75" customHeight="1">
      <c r="A49" s="86"/>
      <c r="B49" s="87"/>
      <c r="C49" s="88"/>
      <c r="D49" s="86"/>
      <c r="E49" s="87"/>
      <c r="F49" s="88"/>
      <c r="G49" s="86">
        <v>10.0</v>
      </c>
      <c r="H49" s="87">
        <v>11.0</v>
      </c>
      <c r="I49" s="88"/>
      <c r="J49" s="86">
        <v>32.0</v>
      </c>
      <c r="K49" s="87">
        <v>33.0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K1"/>
    <mergeCell ref="A2:K2"/>
    <mergeCell ref="A3:K3"/>
    <mergeCell ref="A4:B4"/>
    <mergeCell ref="D4:E4"/>
    <mergeCell ref="G4:H4"/>
    <mergeCell ref="J4:K4"/>
    <mergeCell ref="A14:K14"/>
    <mergeCell ref="A15:K15"/>
    <mergeCell ref="A16:K16"/>
    <mergeCell ref="A17:B17"/>
    <mergeCell ref="D17:E17"/>
    <mergeCell ref="G17:H17"/>
    <mergeCell ref="J17:K17"/>
    <mergeCell ref="A40:K40"/>
    <mergeCell ref="A41:K41"/>
    <mergeCell ref="A42:K42"/>
    <mergeCell ref="A43:B43"/>
    <mergeCell ref="D43:E43"/>
    <mergeCell ref="G43:H43"/>
    <mergeCell ref="J43:K43"/>
    <mergeCell ref="A27:K27"/>
    <mergeCell ref="A28:K28"/>
    <mergeCell ref="A29:K29"/>
    <mergeCell ref="A30:B30"/>
    <mergeCell ref="D30:E30"/>
    <mergeCell ref="G30:H30"/>
    <mergeCell ref="J30:K3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4.57"/>
    <col customWidth="1" min="3" max="3" width="11.86"/>
    <col customWidth="1" min="4" max="4" width="12.57"/>
    <col customWidth="1" min="5" max="5" width="14.29"/>
    <col customWidth="1" min="6" max="7" width="15.0"/>
    <col customWidth="1" min="8" max="8" width="24.43"/>
    <col customWidth="1" min="9" max="9" width="16.0"/>
  </cols>
  <sheetData>
    <row r="1" ht="24.75" customHeight="1">
      <c r="A1" s="68" t="s">
        <v>404</v>
      </c>
    </row>
    <row r="2" ht="24.75" customHeight="1">
      <c r="A2" s="68" t="s">
        <v>405</v>
      </c>
    </row>
    <row r="3" ht="24.75" customHeight="1">
      <c r="A3" s="68" t="s">
        <v>406</v>
      </c>
    </row>
    <row r="4" ht="24.75" customHeight="1">
      <c r="A4" s="90" t="s">
        <v>407</v>
      </c>
      <c r="B4" s="90" t="s">
        <v>408</v>
      </c>
      <c r="C4" s="90" t="s">
        <v>409</v>
      </c>
      <c r="D4" s="90" t="s">
        <v>410</v>
      </c>
      <c r="E4" s="90" t="s">
        <v>411</v>
      </c>
      <c r="F4" s="90" t="s">
        <v>412</v>
      </c>
      <c r="G4" s="90" t="s">
        <v>413</v>
      </c>
      <c r="H4" s="90" t="s">
        <v>414</v>
      </c>
      <c r="I4" s="90" t="s">
        <v>415</v>
      </c>
    </row>
    <row r="5" ht="24.75" customHeight="1">
      <c r="A5" s="90" t="s">
        <v>416</v>
      </c>
      <c r="B5" s="91">
        <v>45950.0</v>
      </c>
      <c r="C5" s="90" t="s">
        <v>417</v>
      </c>
      <c r="D5" s="92" t="s">
        <v>418</v>
      </c>
      <c r="E5" s="47"/>
      <c r="F5" s="47"/>
      <c r="G5" s="47"/>
      <c r="H5" s="47"/>
      <c r="I5" s="46"/>
    </row>
    <row r="6" ht="24.75" customHeight="1">
      <c r="A6" s="90" t="s">
        <v>419</v>
      </c>
      <c r="B6" s="91">
        <v>45951.0</v>
      </c>
      <c r="C6" s="90" t="s">
        <v>417</v>
      </c>
      <c r="D6" s="93" t="s">
        <v>420</v>
      </c>
      <c r="E6" s="93" t="s">
        <v>421</v>
      </c>
      <c r="F6" s="93" t="s">
        <v>422</v>
      </c>
      <c r="G6" s="93" t="s">
        <v>423</v>
      </c>
      <c r="H6" s="93" t="s">
        <v>424</v>
      </c>
      <c r="I6" s="93" t="s">
        <v>425</v>
      </c>
    </row>
    <row r="7" ht="24.75" customHeight="1">
      <c r="A7" s="90" t="s">
        <v>426</v>
      </c>
      <c r="B7" s="91">
        <v>45952.0</v>
      </c>
      <c r="C7" s="90" t="s">
        <v>427</v>
      </c>
      <c r="D7" s="92" t="s">
        <v>418</v>
      </c>
      <c r="E7" s="47"/>
      <c r="F7" s="47"/>
      <c r="G7" s="47"/>
      <c r="H7" s="47"/>
      <c r="I7" s="46"/>
    </row>
    <row r="8" ht="24.75" customHeight="1">
      <c r="A8" s="90" t="s">
        <v>428</v>
      </c>
      <c r="B8" s="91">
        <v>45953.0</v>
      </c>
      <c r="C8" s="90" t="s">
        <v>427</v>
      </c>
      <c r="D8" s="93" t="s">
        <v>429</v>
      </c>
      <c r="E8" s="93" t="s">
        <v>430</v>
      </c>
      <c r="F8" s="93" t="s">
        <v>431</v>
      </c>
      <c r="G8" s="93" t="s">
        <v>432</v>
      </c>
      <c r="H8" s="93" t="s">
        <v>433</v>
      </c>
      <c r="I8" s="93" t="s">
        <v>434</v>
      </c>
    </row>
    <row r="9" ht="24.75" customHeight="1">
      <c r="A9" s="90" t="s">
        <v>435</v>
      </c>
      <c r="B9" s="91">
        <v>45954.0</v>
      </c>
      <c r="C9" s="90" t="s">
        <v>427</v>
      </c>
      <c r="D9" s="93" t="s">
        <v>420</v>
      </c>
      <c r="E9" s="93" t="s">
        <v>436</v>
      </c>
      <c r="F9" s="93" t="s">
        <v>437</v>
      </c>
      <c r="G9" s="93" t="s">
        <v>430</v>
      </c>
      <c r="H9" s="93" t="s">
        <v>438</v>
      </c>
      <c r="I9" s="93" t="s">
        <v>439</v>
      </c>
    </row>
    <row r="10" ht="24.75" customHeight="1">
      <c r="A10" s="90" t="s">
        <v>440</v>
      </c>
      <c r="B10" s="91">
        <v>45955.0</v>
      </c>
      <c r="C10" s="90" t="s">
        <v>441</v>
      </c>
      <c r="D10" s="93" t="s">
        <v>429</v>
      </c>
      <c r="E10" s="93" t="s">
        <v>442</v>
      </c>
      <c r="F10" s="93" t="s">
        <v>443</v>
      </c>
      <c r="G10" s="93" t="s">
        <v>444</v>
      </c>
      <c r="H10" s="93" t="s">
        <v>445</v>
      </c>
      <c r="I10" s="94" t="s">
        <v>446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3:I3"/>
    <mergeCell ref="D5:I5"/>
    <mergeCell ref="D7:I7"/>
  </mergeCells>
  <printOptions/>
  <pageMargins bottom="0.75" footer="0.0" header="0.0" left="0.7" right="0.7" top="0.75"/>
  <pageSetup paperSize="9" scale="94" orientation="landscape"/>
  <drawing r:id="rId1"/>
</worksheet>
</file>