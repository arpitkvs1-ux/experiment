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 activeTab="5"/>
  </bookViews>
  <sheets>
    <sheet name="हिन्दी" sheetId="1" r:id="rId1"/>
    <sheet name="English" sheetId="2" r:id="rId2"/>
    <sheet name="Maths" sheetId="3" r:id="rId3"/>
    <sheet name="Science" sheetId="4" r:id="rId4"/>
    <sheet name="S.St." sheetId="5" r:id="rId5"/>
    <sheet name="संस्कृत" sheetId="6" r:id="rId6"/>
    <sheet name="AI" sheetId="7" r:id="rId7"/>
    <sheet name="Result Analysis" sheetId="8" r:id="rId8"/>
  </sheets>
  <calcPr calcId="124519"/>
  <extLst>
    <ext uri="GoogleSheetsCustomDataVersion2">
      <go:sheetsCustomData xmlns:go="http://customooxmlschemas.google.com/" r:id="rId12" roundtripDataChecksum="MxfSsze74R0HAfuVrNC2xqnqLAmAZJefRJB4SV6AxfE="/>
    </ext>
  </extLst>
</workbook>
</file>

<file path=xl/calcChain.xml><?xml version="1.0" encoding="utf-8"?>
<calcChain xmlns="http://schemas.openxmlformats.org/spreadsheetml/2006/main">
  <c r="J79" i="8"/>
  <c r="K65"/>
  <c r="I47"/>
  <c r="H47"/>
  <c r="G47"/>
  <c r="F47"/>
  <c r="E47"/>
  <c r="D47"/>
  <c r="C47"/>
  <c r="J47" s="1"/>
  <c r="K47" s="1"/>
  <c r="I46"/>
  <c r="H46"/>
  <c r="G46"/>
  <c r="F46"/>
  <c r="J46" s="1"/>
  <c r="K46" s="1"/>
  <c r="E46"/>
  <c r="D46"/>
  <c r="C46"/>
  <c r="I45"/>
  <c r="H45"/>
  <c r="G45"/>
  <c r="F45"/>
  <c r="E45"/>
  <c r="D45"/>
  <c r="C45"/>
  <c r="I44"/>
  <c r="H44"/>
  <c r="G44"/>
  <c r="F44"/>
  <c r="E44"/>
  <c r="D44"/>
  <c r="J44" s="1"/>
  <c r="K44" s="1"/>
  <c r="C44"/>
  <c r="I43"/>
  <c r="H43"/>
  <c r="G43"/>
  <c r="F43"/>
  <c r="E43"/>
  <c r="D43"/>
  <c r="C43"/>
  <c r="J43" s="1"/>
  <c r="K43" s="1"/>
  <c r="I42"/>
  <c r="H42"/>
  <c r="G42"/>
  <c r="F42"/>
  <c r="J42" s="1"/>
  <c r="K42" s="1"/>
  <c r="E42"/>
  <c r="D42"/>
  <c r="C42"/>
  <c r="I41"/>
  <c r="H41"/>
  <c r="G41"/>
  <c r="F41"/>
  <c r="E41"/>
  <c r="D41"/>
  <c r="C41"/>
  <c r="I40"/>
  <c r="H40"/>
  <c r="G40"/>
  <c r="F40"/>
  <c r="E40"/>
  <c r="D40"/>
  <c r="J40" s="1"/>
  <c r="K40" s="1"/>
  <c r="C40"/>
  <c r="I39"/>
  <c r="H39"/>
  <c r="G39"/>
  <c r="F39"/>
  <c r="E39"/>
  <c r="D39"/>
  <c r="C39"/>
  <c r="J39" s="1"/>
  <c r="K39" s="1"/>
  <c r="I38"/>
  <c r="H38"/>
  <c r="G38"/>
  <c r="F38"/>
  <c r="J38" s="1"/>
  <c r="K38" s="1"/>
  <c r="E38"/>
  <c r="D38"/>
  <c r="C38"/>
  <c r="I37"/>
  <c r="H37"/>
  <c r="G37"/>
  <c r="F37"/>
  <c r="E37"/>
  <c r="D37"/>
  <c r="C37"/>
  <c r="I36"/>
  <c r="H36"/>
  <c r="G36"/>
  <c r="F36"/>
  <c r="E36"/>
  <c r="D36"/>
  <c r="J36" s="1"/>
  <c r="K36" s="1"/>
  <c r="C36"/>
  <c r="I35"/>
  <c r="H35"/>
  <c r="G35"/>
  <c r="F35"/>
  <c r="E35"/>
  <c r="D35"/>
  <c r="C35"/>
  <c r="I34"/>
  <c r="H34"/>
  <c r="G34"/>
  <c r="F34"/>
  <c r="J34" s="1"/>
  <c r="K34" s="1"/>
  <c r="E34"/>
  <c r="D34"/>
  <c r="C34"/>
  <c r="I33"/>
  <c r="H33"/>
  <c r="G33"/>
  <c r="F33"/>
  <c r="E33"/>
  <c r="D33"/>
  <c r="C33"/>
  <c r="I32"/>
  <c r="H32"/>
  <c r="G32"/>
  <c r="F32"/>
  <c r="E32"/>
  <c r="D32"/>
  <c r="J32" s="1"/>
  <c r="K32" s="1"/>
  <c r="C32"/>
  <c r="I31"/>
  <c r="H31"/>
  <c r="G31"/>
  <c r="F31"/>
  <c r="E31"/>
  <c r="D31"/>
  <c r="C31"/>
  <c r="I30"/>
  <c r="H30"/>
  <c r="G30"/>
  <c r="F30"/>
  <c r="J30" s="1"/>
  <c r="K30" s="1"/>
  <c r="E30"/>
  <c r="D30"/>
  <c r="C30"/>
  <c r="I29"/>
  <c r="H29"/>
  <c r="G29"/>
  <c r="F29"/>
  <c r="E29"/>
  <c r="D29"/>
  <c r="C29"/>
  <c r="I28"/>
  <c r="H28"/>
  <c r="G28"/>
  <c r="F28"/>
  <c r="E28"/>
  <c r="D28"/>
  <c r="J28" s="1"/>
  <c r="K28" s="1"/>
  <c r="C28"/>
  <c r="I27"/>
  <c r="H27"/>
  <c r="G27"/>
  <c r="F27"/>
  <c r="E27"/>
  <c r="D27"/>
  <c r="C27"/>
  <c r="I26"/>
  <c r="H26"/>
  <c r="G26"/>
  <c r="F26"/>
  <c r="J26" s="1"/>
  <c r="K26" s="1"/>
  <c r="E26"/>
  <c r="D26"/>
  <c r="C26"/>
  <c r="I25"/>
  <c r="H25"/>
  <c r="G25"/>
  <c r="F25"/>
  <c r="E25"/>
  <c r="D25"/>
  <c r="C25"/>
  <c r="I24"/>
  <c r="H24"/>
  <c r="G24"/>
  <c r="F24"/>
  <c r="E24"/>
  <c r="D24"/>
  <c r="J24" s="1"/>
  <c r="K24" s="1"/>
  <c r="C24"/>
  <c r="I23"/>
  <c r="H23"/>
  <c r="G23"/>
  <c r="F23"/>
  <c r="E23"/>
  <c r="D23"/>
  <c r="C23"/>
  <c r="I22"/>
  <c r="H22"/>
  <c r="G22"/>
  <c r="F22"/>
  <c r="J22" s="1"/>
  <c r="K22" s="1"/>
  <c r="E22"/>
  <c r="D22"/>
  <c r="C22"/>
  <c r="I21"/>
  <c r="H21"/>
  <c r="G21"/>
  <c r="F21"/>
  <c r="E21"/>
  <c r="D21"/>
  <c r="C21"/>
  <c r="I20"/>
  <c r="H20"/>
  <c r="G20"/>
  <c r="F20"/>
  <c r="E20"/>
  <c r="D20"/>
  <c r="J20" s="1"/>
  <c r="K20" s="1"/>
  <c r="C20"/>
  <c r="I19"/>
  <c r="H19"/>
  <c r="G19"/>
  <c r="F19"/>
  <c r="E19"/>
  <c r="D19"/>
  <c r="C19"/>
  <c r="I18"/>
  <c r="H18"/>
  <c r="G18"/>
  <c r="F18"/>
  <c r="J18" s="1"/>
  <c r="K18" s="1"/>
  <c r="E18"/>
  <c r="D18"/>
  <c r="C18"/>
  <c r="I17"/>
  <c r="H17"/>
  <c r="G17"/>
  <c r="F17"/>
  <c r="E17"/>
  <c r="D17"/>
  <c r="C17"/>
  <c r="I16"/>
  <c r="H16"/>
  <c r="G16"/>
  <c r="F16"/>
  <c r="E16"/>
  <c r="D16"/>
  <c r="J16" s="1"/>
  <c r="K16" s="1"/>
  <c r="C16"/>
  <c r="I15"/>
  <c r="H15"/>
  <c r="G15"/>
  <c r="F15"/>
  <c r="E15"/>
  <c r="D15"/>
  <c r="C15"/>
  <c r="I14"/>
  <c r="H14"/>
  <c r="G14"/>
  <c r="F14"/>
  <c r="F71" s="1"/>
  <c r="E14"/>
  <c r="D14"/>
  <c r="C14"/>
  <c r="I13"/>
  <c r="H13"/>
  <c r="G13"/>
  <c r="F13"/>
  <c r="E13"/>
  <c r="D13"/>
  <c r="C13"/>
  <c r="I12"/>
  <c r="H12"/>
  <c r="G12"/>
  <c r="F12"/>
  <c r="E12"/>
  <c r="D12"/>
  <c r="J12" s="1"/>
  <c r="K12" s="1"/>
  <c r="C12"/>
  <c r="I11"/>
  <c r="H11"/>
  <c r="G11"/>
  <c r="F11"/>
  <c r="E11"/>
  <c r="D11"/>
  <c r="C11"/>
  <c r="I10"/>
  <c r="H10"/>
  <c r="G10"/>
  <c r="F10"/>
  <c r="J10" s="1"/>
  <c r="K10" s="1"/>
  <c r="E10"/>
  <c r="D10"/>
  <c r="C10"/>
  <c r="I9"/>
  <c r="H9"/>
  <c r="G9"/>
  <c r="F9"/>
  <c r="E9"/>
  <c r="D9"/>
  <c r="C9"/>
  <c r="I8"/>
  <c r="H8"/>
  <c r="G8"/>
  <c r="F8"/>
  <c r="E8"/>
  <c r="D8"/>
  <c r="J8" s="1"/>
  <c r="K8" s="1"/>
  <c r="C8"/>
  <c r="I7"/>
  <c r="H7"/>
  <c r="G7"/>
  <c r="F7"/>
  <c r="E7"/>
  <c r="D7"/>
  <c r="C7"/>
  <c r="I6"/>
  <c r="H6"/>
  <c r="G6"/>
  <c r="F6"/>
  <c r="F63" s="1"/>
  <c r="E6"/>
  <c r="D6"/>
  <c r="C6"/>
  <c r="D60" i="7"/>
  <c r="I51"/>
  <c r="H51"/>
  <c r="D51"/>
  <c r="H50"/>
  <c r="I50" s="1"/>
  <c r="D50"/>
  <c r="I49"/>
  <c r="H49"/>
  <c r="D49"/>
  <c r="H48"/>
  <c r="I48" s="1"/>
  <c r="D48"/>
  <c r="I47"/>
  <c r="H47"/>
  <c r="D47"/>
  <c r="H46"/>
  <c r="I46" s="1"/>
  <c r="D46"/>
  <c r="I45"/>
  <c r="H45"/>
  <c r="D45"/>
  <c r="H44"/>
  <c r="I44" s="1"/>
  <c r="D44"/>
  <c r="I43"/>
  <c r="H43"/>
  <c r="D43"/>
  <c r="H42"/>
  <c r="I42" s="1"/>
  <c r="D42"/>
  <c r="I41"/>
  <c r="H41"/>
  <c r="D41"/>
  <c r="H40"/>
  <c r="I40" s="1"/>
  <c r="D40"/>
  <c r="I39"/>
  <c r="H39"/>
  <c r="D39"/>
  <c r="H38"/>
  <c r="I38" s="1"/>
  <c r="D38"/>
  <c r="I37"/>
  <c r="H37"/>
  <c r="D37"/>
  <c r="H36"/>
  <c r="I36" s="1"/>
  <c r="D36"/>
  <c r="I35"/>
  <c r="H35"/>
  <c r="D35"/>
  <c r="H34"/>
  <c r="I34" s="1"/>
  <c r="D34"/>
  <c r="I33"/>
  <c r="H33"/>
  <c r="D33"/>
  <c r="H32"/>
  <c r="I32" s="1"/>
  <c r="D32"/>
  <c r="I31"/>
  <c r="H31"/>
  <c r="D31"/>
  <c r="H30"/>
  <c r="I30" s="1"/>
  <c r="D30"/>
  <c r="I29"/>
  <c r="H29"/>
  <c r="D29"/>
  <c r="H28"/>
  <c r="I28" s="1"/>
  <c r="D28"/>
  <c r="I27"/>
  <c r="H27"/>
  <c r="D27"/>
  <c r="H26"/>
  <c r="I26" s="1"/>
  <c r="D26"/>
  <c r="I25"/>
  <c r="H25"/>
  <c r="D25"/>
  <c r="H24"/>
  <c r="I24" s="1"/>
  <c r="D24"/>
  <c r="I23"/>
  <c r="H23"/>
  <c r="D23"/>
  <c r="H22"/>
  <c r="I22" s="1"/>
  <c r="D22"/>
  <c r="I21"/>
  <c r="H21"/>
  <c r="D21"/>
  <c r="H20"/>
  <c r="I20" s="1"/>
  <c r="D20"/>
  <c r="I19"/>
  <c r="H19"/>
  <c r="D19"/>
  <c r="H18"/>
  <c r="I18" s="1"/>
  <c r="D18"/>
  <c r="I17"/>
  <c r="H17"/>
  <c r="D17"/>
  <c r="H16"/>
  <c r="I16" s="1"/>
  <c r="D16"/>
  <c r="I15"/>
  <c r="H15"/>
  <c r="D15"/>
  <c r="H14"/>
  <c r="I14" s="1"/>
  <c r="D14"/>
  <c r="I13"/>
  <c r="H13"/>
  <c r="D13"/>
  <c r="H12"/>
  <c r="I12" s="1"/>
  <c r="D12"/>
  <c r="I11"/>
  <c r="H11"/>
  <c r="D11"/>
  <c r="H10"/>
  <c r="I60" s="1"/>
  <c r="D10"/>
  <c r="D62" s="1"/>
  <c r="D63" s="1"/>
  <c r="D60" i="6"/>
  <c r="I51"/>
  <c r="H51"/>
  <c r="D51"/>
  <c r="H50"/>
  <c r="I50" s="1"/>
  <c r="D50"/>
  <c r="I49"/>
  <c r="H49"/>
  <c r="D49"/>
  <c r="H48"/>
  <c r="I48" s="1"/>
  <c r="D48"/>
  <c r="I47"/>
  <c r="H47"/>
  <c r="D47"/>
  <c r="H46"/>
  <c r="I46" s="1"/>
  <c r="D46"/>
  <c r="I45"/>
  <c r="H45"/>
  <c r="D45"/>
  <c r="H44"/>
  <c r="I44" s="1"/>
  <c r="D44"/>
  <c r="I43"/>
  <c r="H43"/>
  <c r="D43"/>
  <c r="H42"/>
  <c r="I42" s="1"/>
  <c r="D42"/>
  <c r="I41"/>
  <c r="H41"/>
  <c r="D41"/>
  <c r="H40"/>
  <c r="I40" s="1"/>
  <c r="D40"/>
  <c r="I39"/>
  <c r="H39"/>
  <c r="D39"/>
  <c r="H38"/>
  <c r="I38" s="1"/>
  <c r="D38"/>
  <c r="I37"/>
  <c r="H37"/>
  <c r="D37"/>
  <c r="H36"/>
  <c r="I36" s="1"/>
  <c r="D36"/>
  <c r="I35"/>
  <c r="H35"/>
  <c r="D35"/>
  <c r="H34"/>
  <c r="I34" s="1"/>
  <c r="D34"/>
  <c r="I33"/>
  <c r="H33"/>
  <c r="D33"/>
  <c r="H32"/>
  <c r="I32" s="1"/>
  <c r="D32"/>
  <c r="I31"/>
  <c r="H31"/>
  <c r="D31"/>
  <c r="H30"/>
  <c r="I30" s="1"/>
  <c r="D30"/>
  <c r="I29"/>
  <c r="H29"/>
  <c r="D29"/>
  <c r="H28"/>
  <c r="I28" s="1"/>
  <c r="D28"/>
  <c r="I27"/>
  <c r="H27"/>
  <c r="D27"/>
  <c r="H26"/>
  <c r="I26" s="1"/>
  <c r="D26"/>
  <c r="I25"/>
  <c r="H25"/>
  <c r="D25"/>
  <c r="H24"/>
  <c r="I24" s="1"/>
  <c r="D24"/>
  <c r="I23"/>
  <c r="H23"/>
  <c r="D23"/>
  <c r="H22"/>
  <c r="I22" s="1"/>
  <c r="D22"/>
  <c r="I21"/>
  <c r="H21"/>
  <c r="D21"/>
  <c r="H20"/>
  <c r="I20" s="1"/>
  <c r="D20"/>
  <c r="I19"/>
  <c r="H19"/>
  <c r="D19"/>
  <c r="H18"/>
  <c r="I18" s="1"/>
  <c r="D18"/>
  <c r="I17"/>
  <c r="H17"/>
  <c r="D17"/>
  <c r="H16"/>
  <c r="I16" s="1"/>
  <c r="D16"/>
  <c r="I15"/>
  <c r="H15"/>
  <c r="D15"/>
  <c r="H14"/>
  <c r="I14" s="1"/>
  <c r="D14"/>
  <c r="I13"/>
  <c r="H13"/>
  <c r="D13"/>
  <c r="H12"/>
  <c r="I12" s="1"/>
  <c r="D12"/>
  <c r="I11"/>
  <c r="H11"/>
  <c r="D11"/>
  <c r="D62" s="1"/>
  <c r="D63" s="1"/>
  <c r="H10"/>
  <c r="I60" s="1"/>
  <c r="D10"/>
  <c r="B60" s="1"/>
  <c r="B61" s="1"/>
  <c r="B62" s="1"/>
  <c r="B63" s="1"/>
  <c r="B64" s="1"/>
  <c r="D60" i="5"/>
  <c r="I51"/>
  <c r="H51"/>
  <c r="D51"/>
  <c r="H50"/>
  <c r="I50" s="1"/>
  <c r="D50"/>
  <c r="I49"/>
  <c r="H49"/>
  <c r="D49"/>
  <c r="H48"/>
  <c r="I48" s="1"/>
  <c r="D48"/>
  <c r="I47"/>
  <c r="H47"/>
  <c r="D47"/>
  <c r="H46"/>
  <c r="I46" s="1"/>
  <c r="D46"/>
  <c r="I45"/>
  <c r="H45"/>
  <c r="D45"/>
  <c r="H44"/>
  <c r="I44" s="1"/>
  <c r="D44"/>
  <c r="I43"/>
  <c r="H43"/>
  <c r="D43"/>
  <c r="H42"/>
  <c r="I42" s="1"/>
  <c r="D42"/>
  <c r="I41"/>
  <c r="H41"/>
  <c r="D41"/>
  <c r="H40"/>
  <c r="I40" s="1"/>
  <c r="D40"/>
  <c r="I39"/>
  <c r="H39"/>
  <c r="D39"/>
  <c r="H38"/>
  <c r="I38" s="1"/>
  <c r="D38"/>
  <c r="I37"/>
  <c r="H37"/>
  <c r="D37"/>
  <c r="H36"/>
  <c r="I36" s="1"/>
  <c r="D36"/>
  <c r="I35"/>
  <c r="H35"/>
  <c r="D35"/>
  <c r="H34"/>
  <c r="I34" s="1"/>
  <c r="D34"/>
  <c r="I33"/>
  <c r="H33"/>
  <c r="D33"/>
  <c r="H32"/>
  <c r="I32" s="1"/>
  <c r="D32"/>
  <c r="I31"/>
  <c r="H31"/>
  <c r="D31"/>
  <c r="H30"/>
  <c r="I30" s="1"/>
  <c r="D30"/>
  <c r="I29"/>
  <c r="H29"/>
  <c r="D29"/>
  <c r="H28"/>
  <c r="I28" s="1"/>
  <c r="D28"/>
  <c r="I27"/>
  <c r="H27"/>
  <c r="D27"/>
  <c r="H26"/>
  <c r="I26" s="1"/>
  <c r="D26"/>
  <c r="I25"/>
  <c r="H25"/>
  <c r="D25"/>
  <c r="H24"/>
  <c r="I24" s="1"/>
  <c r="D24"/>
  <c r="I23"/>
  <c r="H23"/>
  <c r="D23"/>
  <c r="H22"/>
  <c r="I22" s="1"/>
  <c r="D22"/>
  <c r="I21"/>
  <c r="H21"/>
  <c r="D21"/>
  <c r="H20"/>
  <c r="I20" s="1"/>
  <c r="D20"/>
  <c r="I19"/>
  <c r="H19"/>
  <c r="D19"/>
  <c r="H18"/>
  <c r="I18" s="1"/>
  <c r="D18"/>
  <c r="I17"/>
  <c r="H17"/>
  <c r="D17"/>
  <c r="H16"/>
  <c r="I16" s="1"/>
  <c r="D16"/>
  <c r="I15"/>
  <c r="H15"/>
  <c r="D15"/>
  <c r="H14"/>
  <c r="I14" s="1"/>
  <c r="D14"/>
  <c r="I13"/>
  <c r="H13"/>
  <c r="D13"/>
  <c r="D62" s="1"/>
  <c r="D63" s="1"/>
  <c r="H12"/>
  <c r="I12" s="1"/>
  <c r="D12"/>
  <c r="I11"/>
  <c r="H11"/>
  <c r="D11"/>
  <c r="D61" s="1"/>
  <c r="H10"/>
  <c r="I60" s="1"/>
  <c r="D10"/>
  <c r="B65" s="1"/>
  <c r="D60" i="4"/>
  <c r="I51"/>
  <c r="H51"/>
  <c r="D51"/>
  <c r="H50"/>
  <c r="I50" s="1"/>
  <c r="D50"/>
  <c r="I49"/>
  <c r="H49"/>
  <c r="D49"/>
  <c r="H48"/>
  <c r="I48" s="1"/>
  <c r="D48"/>
  <c r="I47"/>
  <c r="H47"/>
  <c r="D47"/>
  <c r="H46"/>
  <c r="I46" s="1"/>
  <c r="D46"/>
  <c r="I45"/>
  <c r="H45"/>
  <c r="D45"/>
  <c r="H44"/>
  <c r="I44" s="1"/>
  <c r="D44"/>
  <c r="I43"/>
  <c r="H43"/>
  <c r="D43"/>
  <c r="H42"/>
  <c r="I42" s="1"/>
  <c r="D42"/>
  <c r="I41"/>
  <c r="H41"/>
  <c r="D41"/>
  <c r="H40"/>
  <c r="I40" s="1"/>
  <c r="D40"/>
  <c r="I39"/>
  <c r="H39"/>
  <c r="D39"/>
  <c r="H38"/>
  <c r="I38" s="1"/>
  <c r="D38"/>
  <c r="I37"/>
  <c r="H37"/>
  <c r="D37"/>
  <c r="H36"/>
  <c r="I36" s="1"/>
  <c r="D36"/>
  <c r="I35"/>
  <c r="H35"/>
  <c r="D35"/>
  <c r="H34"/>
  <c r="I34" s="1"/>
  <c r="D34"/>
  <c r="I33"/>
  <c r="H33"/>
  <c r="D33"/>
  <c r="H32"/>
  <c r="I32" s="1"/>
  <c r="D32"/>
  <c r="I31"/>
  <c r="H31"/>
  <c r="D31"/>
  <c r="H30"/>
  <c r="I30" s="1"/>
  <c r="D30"/>
  <c r="I29"/>
  <c r="H29"/>
  <c r="D29"/>
  <c r="H28"/>
  <c r="I28" s="1"/>
  <c r="D28"/>
  <c r="I27"/>
  <c r="H27"/>
  <c r="D27"/>
  <c r="H26"/>
  <c r="I26" s="1"/>
  <c r="D26"/>
  <c r="I25"/>
  <c r="H25"/>
  <c r="D25"/>
  <c r="H24"/>
  <c r="I24" s="1"/>
  <c r="D24"/>
  <c r="I23"/>
  <c r="H23"/>
  <c r="D23"/>
  <c r="H22"/>
  <c r="I22" s="1"/>
  <c r="D22"/>
  <c r="I21"/>
  <c r="H21"/>
  <c r="D21"/>
  <c r="H20"/>
  <c r="I20" s="1"/>
  <c r="D20"/>
  <c r="I19"/>
  <c r="H19"/>
  <c r="D19"/>
  <c r="H18"/>
  <c r="I18" s="1"/>
  <c r="D18"/>
  <c r="I17"/>
  <c r="H17"/>
  <c r="D17"/>
  <c r="H16"/>
  <c r="I16" s="1"/>
  <c r="D16"/>
  <c r="I15"/>
  <c r="H15"/>
  <c r="D15"/>
  <c r="H14"/>
  <c r="I14" s="1"/>
  <c r="D14"/>
  <c r="I13"/>
  <c r="H13"/>
  <c r="D13"/>
  <c r="H12"/>
  <c r="I12" s="1"/>
  <c r="D12"/>
  <c r="I11"/>
  <c r="H11"/>
  <c r="D11"/>
  <c r="D61" s="1"/>
  <c r="H10"/>
  <c r="I10" s="1"/>
  <c r="D10"/>
  <c r="B60" s="1"/>
  <c r="B61" s="1"/>
  <c r="B62" s="1"/>
  <c r="B63" s="1"/>
  <c r="B64" s="1"/>
  <c r="D60" i="3"/>
  <c r="I51"/>
  <c r="H51"/>
  <c r="D51"/>
  <c r="H50"/>
  <c r="I50" s="1"/>
  <c r="D50"/>
  <c r="I49"/>
  <c r="H49"/>
  <c r="D49"/>
  <c r="H48"/>
  <c r="I48" s="1"/>
  <c r="D48"/>
  <c r="I47"/>
  <c r="H47"/>
  <c r="D47"/>
  <c r="H46"/>
  <c r="I46" s="1"/>
  <c r="D46"/>
  <c r="I45"/>
  <c r="H45"/>
  <c r="D45"/>
  <c r="H44"/>
  <c r="I44" s="1"/>
  <c r="D44"/>
  <c r="I43"/>
  <c r="H43"/>
  <c r="D43"/>
  <c r="H42"/>
  <c r="I42" s="1"/>
  <c r="D42"/>
  <c r="I41"/>
  <c r="H41"/>
  <c r="D41"/>
  <c r="H40"/>
  <c r="I40" s="1"/>
  <c r="D40"/>
  <c r="I39"/>
  <c r="H39"/>
  <c r="D39"/>
  <c r="H38"/>
  <c r="I38" s="1"/>
  <c r="D38"/>
  <c r="I37"/>
  <c r="H37"/>
  <c r="D37"/>
  <c r="H36"/>
  <c r="I36" s="1"/>
  <c r="D36"/>
  <c r="I35"/>
  <c r="H35"/>
  <c r="D35"/>
  <c r="H34"/>
  <c r="I34" s="1"/>
  <c r="D34"/>
  <c r="I33"/>
  <c r="H33"/>
  <c r="D33"/>
  <c r="H32"/>
  <c r="I32" s="1"/>
  <c r="D32"/>
  <c r="I31"/>
  <c r="H31"/>
  <c r="D31"/>
  <c r="H30"/>
  <c r="I30" s="1"/>
  <c r="D30"/>
  <c r="I29"/>
  <c r="H29"/>
  <c r="D29"/>
  <c r="H28"/>
  <c r="I28" s="1"/>
  <c r="D28"/>
  <c r="I27"/>
  <c r="H27"/>
  <c r="D27"/>
  <c r="H26"/>
  <c r="I26" s="1"/>
  <c r="D26"/>
  <c r="I25"/>
  <c r="H25"/>
  <c r="D25"/>
  <c r="H24"/>
  <c r="I24" s="1"/>
  <c r="D24"/>
  <c r="I23"/>
  <c r="H23"/>
  <c r="D23"/>
  <c r="H22"/>
  <c r="I22" s="1"/>
  <c r="D22"/>
  <c r="I21"/>
  <c r="H21"/>
  <c r="D21"/>
  <c r="H20"/>
  <c r="I20" s="1"/>
  <c r="D20"/>
  <c r="I19"/>
  <c r="H19"/>
  <c r="D19"/>
  <c r="H18"/>
  <c r="I18" s="1"/>
  <c r="D18"/>
  <c r="I17"/>
  <c r="H17"/>
  <c r="D17"/>
  <c r="H16"/>
  <c r="I16" s="1"/>
  <c r="D16"/>
  <c r="I15"/>
  <c r="H15"/>
  <c r="D15"/>
  <c r="H14"/>
  <c r="I14" s="1"/>
  <c r="D14"/>
  <c r="I13"/>
  <c r="H13"/>
  <c r="D13"/>
  <c r="H12"/>
  <c r="I12" s="1"/>
  <c r="D12"/>
  <c r="I11"/>
  <c r="H11"/>
  <c r="D11"/>
  <c r="D62" s="1"/>
  <c r="D63" s="1"/>
  <c r="H10"/>
  <c r="I60" s="1"/>
  <c r="D10"/>
  <c r="B65" s="1"/>
  <c r="I51" i="2"/>
  <c r="H51"/>
  <c r="D51"/>
  <c r="H50"/>
  <c r="I50" s="1"/>
  <c r="D50"/>
  <c r="I49"/>
  <c r="H49"/>
  <c r="D49"/>
  <c r="H48"/>
  <c r="I48" s="1"/>
  <c r="D48"/>
  <c r="I47"/>
  <c r="H47"/>
  <c r="D47"/>
  <c r="H46"/>
  <c r="I46" s="1"/>
  <c r="D46"/>
  <c r="I45"/>
  <c r="H45"/>
  <c r="D45"/>
  <c r="H44"/>
  <c r="I44" s="1"/>
  <c r="D44"/>
  <c r="I43"/>
  <c r="H43"/>
  <c r="D43"/>
  <c r="H42"/>
  <c r="I42" s="1"/>
  <c r="D42"/>
  <c r="I41"/>
  <c r="H41"/>
  <c r="D41"/>
  <c r="H40"/>
  <c r="I40" s="1"/>
  <c r="D40"/>
  <c r="I39"/>
  <c r="H39"/>
  <c r="D39"/>
  <c r="H38"/>
  <c r="I38" s="1"/>
  <c r="D38"/>
  <c r="I37"/>
  <c r="H37"/>
  <c r="D37"/>
  <c r="H36"/>
  <c r="I36" s="1"/>
  <c r="D36"/>
  <c r="I35"/>
  <c r="H35"/>
  <c r="D35"/>
  <c r="H34"/>
  <c r="I34" s="1"/>
  <c r="D34"/>
  <c r="I33"/>
  <c r="H33"/>
  <c r="D33"/>
  <c r="H32"/>
  <c r="I32" s="1"/>
  <c r="D32"/>
  <c r="I31"/>
  <c r="H31"/>
  <c r="D31"/>
  <c r="H30"/>
  <c r="I30" s="1"/>
  <c r="D30"/>
  <c r="I29"/>
  <c r="H29"/>
  <c r="D29"/>
  <c r="H28"/>
  <c r="I28" s="1"/>
  <c r="D28"/>
  <c r="I27"/>
  <c r="H27"/>
  <c r="D27"/>
  <c r="H26"/>
  <c r="I26" s="1"/>
  <c r="D26"/>
  <c r="I25"/>
  <c r="H25"/>
  <c r="D25"/>
  <c r="H24"/>
  <c r="I24" s="1"/>
  <c r="D24"/>
  <c r="I23"/>
  <c r="H23"/>
  <c r="D23"/>
  <c r="H22"/>
  <c r="I22" s="1"/>
  <c r="D22"/>
  <c r="I21"/>
  <c r="H21"/>
  <c r="D21"/>
  <c r="H20"/>
  <c r="I20" s="1"/>
  <c r="D20"/>
  <c r="I19"/>
  <c r="H19"/>
  <c r="D19"/>
  <c r="H18"/>
  <c r="I18" s="1"/>
  <c r="D18"/>
  <c r="I17"/>
  <c r="H17"/>
  <c r="D17"/>
  <c r="H16"/>
  <c r="I16" s="1"/>
  <c r="D16"/>
  <c r="I15"/>
  <c r="H15"/>
  <c r="D15"/>
  <c r="H14"/>
  <c r="I14" s="1"/>
  <c r="D14"/>
  <c r="I13"/>
  <c r="H13"/>
  <c r="D13"/>
  <c r="H12"/>
  <c r="D60" s="1"/>
  <c r="D12"/>
  <c r="I11"/>
  <c r="H11"/>
  <c r="D11"/>
  <c r="D62" s="1"/>
  <c r="D63" s="1"/>
  <c r="H10"/>
  <c r="I10" s="1"/>
  <c r="D10"/>
  <c r="B60" s="1"/>
  <c r="B61" s="1"/>
  <c r="B62" s="1"/>
  <c r="B63" s="1"/>
  <c r="B64" s="1"/>
  <c r="I51" i="1"/>
  <c r="H51"/>
  <c r="D51"/>
  <c r="H50"/>
  <c r="I50" s="1"/>
  <c r="D50"/>
  <c r="I49"/>
  <c r="H49"/>
  <c r="D49"/>
  <c r="H48"/>
  <c r="I48" s="1"/>
  <c r="D48"/>
  <c r="I47"/>
  <c r="H47"/>
  <c r="D47"/>
  <c r="H46"/>
  <c r="I46" s="1"/>
  <c r="D46"/>
  <c r="I45"/>
  <c r="H45"/>
  <c r="D45"/>
  <c r="H44"/>
  <c r="I44" s="1"/>
  <c r="D44"/>
  <c r="I43"/>
  <c r="H43"/>
  <c r="D43"/>
  <c r="H42"/>
  <c r="I42" s="1"/>
  <c r="D42"/>
  <c r="I41"/>
  <c r="H41"/>
  <c r="D41"/>
  <c r="H40"/>
  <c r="I40" s="1"/>
  <c r="D40"/>
  <c r="I39"/>
  <c r="H39"/>
  <c r="D39"/>
  <c r="H38"/>
  <c r="I38" s="1"/>
  <c r="D38"/>
  <c r="I37"/>
  <c r="H37"/>
  <c r="D37"/>
  <c r="H36"/>
  <c r="I36" s="1"/>
  <c r="D36"/>
  <c r="I35"/>
  <c r="H35"/>
  <c r="D35"/>
  <c r="H34"/>
  <c r="I34" s="1"/>
  <c r="D34"/>
  <c r="I33"/>
  <c r="H33"/>
  <c r="D33"/>
  <c r="H32"/>
  <c r="I32" s="1"/>
  <c r="D32"/>
  <c r="I31"/>
  <c r="H31"/>
  <c r="D31"/>
  <c r="H30"/>
  <c r="I30" s="1"/>
  <c r="D30"/>
  <c r="I29"/>
  <c r="H29"/>
  <c r="D29"/>
  <c r="H28"/>
  <c r="I28" s="1"/>
  <c r="D28"/>
  <c r="I27"/>
  <c r="H27"/>
  <c r="D27"/>
  <c r="H26"/>
  <c r="I26" s="1"/>
  <c r="D26"/>
  <c r="I25"/>
  <c r="H25"/>
  <c r="D25"/>
  <c r="H24"/>
  <c r="I24" s="1"/>
  <c r="D24"/>
  <c r="I23"/>
  <c r="H23"/>
  <c r="D23"/>
  <c r="H22"/>
  <c r="I22" s="1"/>
  <c r="D22"/>
  <c r="I21"/>
  <c r="H21"/>
  <c r="D21"/>
  <c r="H20"/>
  <c r="I20" s="1"/>
  <c r="D20"/>
  <c r="I19"/>
  <c r="H19"/>
  <c r="D19"/>
  <c r="H18"/>
  <c r="I18" s="1"/>
  <c r="D18"/>
  <c r="I17"/>
  <c r="H17"/>
  <c r="D17"/>
  <c r="H16"/>
  <c r="I16" s="1"/>
  <c r="D16"/>
  <c r="I15"/>
  <c r="H15"/>
  <c r="D15"/>
  <c r="H14"/>
  <c r="I14" s="1"/>
  <c r="D14"/>
  <c r="I13"/>
  <c r="H13"/>
  <c r="D13"/>
  <c r="H12"/>
  <c r="I12" s="1"/>
  <c r="D12"/>
  <c r="I11"/>
  <c r="H11"/>
  <c r="D11"/>
  <c r="D61" s="1"/>
  <c r="H10"/>
  <c r="I10" s="1"/>
  <c r="D10"/>
  <c r="B65" s="1"/>
  <c r="E78" i="8" l="1"/>
  <c r="I78"/>
  <c r="E71"/>
  <c r="I71"/>
  <c r="D78"/>
  <c r="H78"/>
  <c r="J7"/>
  <c r="K7" s="1"/>
  <c r="J9"/>
  <c r="K9" s="1"/>
  <c r="J11"/>
  <c r="K11" s="1"/>
  <c r="J13"/>
  <c r="K13" s="1"/>
  <c r="D71"/>
  <c r="H71"/>
  <c r="J15"/>
  <c r="K15" s="1"/>
  <c r="J17"/>
  <c r="K17" s="1"/>
  <c r="J19"/>
  <c r="K19" s="1"/>
  <c r="J21"/>
  <c r="K21" s="1"/>
  <c r="J23"/>
  <c r="K23" s="1"/>
  <c r="J25"/>
  <c r="K25" s="1"/>
  <c r="J27"/>
  <c r="K27" s="1"/>
  <c r="J29"/>
  <c r="K29" s="1"/>
  <c r="J31"/>
  <c r="K31" s="1"/>
  <c r="J33"/>
  <c r="K33" s="1"/>
  <c r="J35"/>
  <c r="K35" s="1"/>
  <c r="J37"/>
  <c r="K37" s="1"/>
  <c r="J41"/>
  <c r="K41" s="1"/>
  <c r="J45"/>
  <c r="K45" s="1"/>
  <c r="C63"/>
  <c r="C68" s="1"/>
  <c r="C69" s="1"/>
  <c r="G63"/>
  <c r="G68" s="1"/>
  <c r="G69" s="1"/>
  <c r="C71"/>
  <c r="C72" s="1"/>
  <c r="C73" s="1"/>
  <c r="C74" s="1"/>
  <c r="C75" s="1"/>
  <c r="C76" s="1"/>
  <c r="C77" s="1"/>
  <c r="G71"/>
  <c r="D72"/>
  <c r="D73" s="1"/>
  <c r="D74" s="1"/>
  <c r="D75" s="1"/>
  <c r="D76" s="1"/>
  <c r="D77" s="1"/>
  <c r="F72"/>
  <c r="F73" s="1"/>
  <c r="F74" s="1"/>
  <c r="F75" s="1"/>
  <c r="F76" s="1"/>
  <c r="F77" s="1"/>
  <c r="E72"/>
  <c r="E73" s="1"/>
  <c r="E74" s="1"/>
  <c r="E75" s="1"/>
  <c r="E76" s="1"/>
  <c r="E77" s="1"/>
  <c r="I72"/>
  <c r="I73" s="1"/>
  <c r="I74" s="1"/>
  <c r="I75" s="1"/>
  <c r="I76" s="1"/>
  <c r="I77" s="1"/>
  <c r="G60" i="1"/>
  <c r="G61" s="1"/>
  <c r="G62" s="1"/>
  <c r="G63" s="1"/>
  <c r="G64" s="1"/>
  <c r="I61"/>
  <c r="G65"/>
  <c r="I62"/>
  <c r="I63" s="1"/>
  <c r="G60" i="4"/>
  <c r="G61" s="1"/>
  <c r="G62" s="1"/>
  <c r="G63" s="1"/>
  <c r="G64" s="1"/>
  <c r="G65"/>
  <c r="I62"/>
  <c r="I61"/>
  <c r="H79" i="8"/>
  <c r="H72"/>
  <c r="H73" s="1"/>
  <c r="H74" s="1"/>
  <c r="H75" s="1"/>
  <c r="H76" s="1"/>
  <c r="H77" s="1"/>
  <c r="G65" i="2"/>
  <c r="G72" i="8"/>
  <c r="G73" s="1"/>
  <c r="G74" s="1"/>
  <c r="G75" s="1"/>
  <c r="G76" s="1"/>
  <c r="G77" s="1"/>
  <c r="I60" i="1"/>
  <c r="D60"/>
  <c r="D62"/>
  <c r="D63" s="1"/>
  <c r="I60" i="2"/>
  <c r="D61" i="3"/>
  <c r="I60" i="4"/>
  <c r="B60" i="1"/>
  <c r="B61" s="1"/>
  <c r="B62" s="1"/>
  <c r="B63" s="1"/>
  <c r="B64" s="1"/>
  <c r="I12" i="2"/>
  <c r="G60" s="1"/>
  <c r="G61" s="1"/>
  <c r="G62" s="1"/>
  <c r="G63" s="1"/>
  <c r="G64" s="1"/>
  <c r="B65"/>
  <c r="I10" i="3"/>
  <c r="B60"/>
  <c r="B61" s="1"/>
  <c r="B62" s="1"/>
  <c r="B63" s="1"/>
  <c r="B64" s="1"/>
  <c r="B65" i="4"/>
  <c r="I10" i="5"/>
  <c r="B60"/>
  <c r="B61" s="1"/>
  <c r="B62" s="1"/>
  <c r="B63" s="1"/>
  <c r="B64" s="1"/>
  <c r="B65" i="6"/>
  <c r="I10" i="7"/>
  <c r="B60"/>
  <c r="B61" s="1"/>
  <c r="B62" s="1"/>
  <c r="B63" s="1"/>
  <c r="B64" s="1"/>
  <c r="E58" i="8"/>
  <c r="E59" s="1"/>
  <c r="E60" s="1"/>
  <c r="E61" s="1"/>
  <c r="E62" s="1"/>
  <c r="I58"/>
  <c r="I59" s="1"/>
  <c r="I60" s="1"/>
  <c r="I61" s="1"/>
  <c r="I62" s="1"/>
  <c r="E63"/>
  <c r="E68" s="1"/>
  <c r="E69" s="1"/>
  <c r="I63"/>
  <c r="I68" s="1"/>
  <c r="I69" s="1"/>
  <c r="C78"/>
  <c r="G78"/>
  <c r="D61" i="2"/>
  <c r="D62" i="4"/>
  <c r="D63" s="1"/>
  <c r="D61" i="6"/>
  <c r="J6" i="8"/>
  <c r="K6" s="1"/>
  <c r="J14"/>
  <c r="K14" s="1"/>
  <c r="D58"/>
  <c r="D59" s="1"/>
  <c r="D60" s="1"/>
  <c r="D61" s="1"/>
  <c r="D62" s="1"/>
  <c r="H58"/>
  <c r="H59" s="1"/>
  <c r="H60" s="1"/>
  <c r="H61" s="1"/>
  <c r="H62" s="1"/>
  <c r="D63"/>
  <c r="D68" s="1"/>
  <c r="D69" s="1"/>
  <c r="H63"/>
  <c r="H68" s="1"/>
  <c r="H69" s="1"/>
  <c r="F67"/>
  <c r="F68" s="1"/>
  <c r="F69" s="1"/>
  <c r="F78"/>
  <c r="I10" i="6"/>
  <c r="B65" i="7"/>
  <c r="C58" i="8"/>
  <c r="C59" s="1"/>
  <c r="C60" s="1"/>
  <c r="C61" s="1"/>
  <c r="C62" s="1"/>
  <c r="G58"/>
  <c r="G59" s="1"/>
  <c r="G60" s="1"/>
  <c r="G61" s="1"/>
  <c r="G62" s="1"/>
  <c r="D61" i="7"/>
  <c r="F58" i="8"/>
  <c r="F59" s="1"/>
  <c r="F60" s="1"/>
  <c r="F61" s="1"/>
  <c r="F62" s="1"/>
  <c r="E79" l="1"/>
  <c r="D79"/>
  <c r="G79"/>
  <c r="K63"/>
  <c r="K58"/>
  <c r="K59" s="1"/>
  <c r="K60" s="1"/>
  <c r="K61" s="1"/>
  <c r="K62" s="1"/>
  <c r="K78"/>
  <c r="K71"/>
  <c r="K68"/>
  <c r="K69" s="1"/>
  <c r="G60" i="7"/>
  <c r="G61" s="1"/>
  <c r="G62" s="1"/>
  <c r="G63" s="1"/>
  <c r="G64" s="1"/>
  <c r="G65"/>
  <c r="I62"/>
  <c r="I63" s="1"/>
  <c r="I61"/>
  <c r="I62" i="2"/>
  <c r="I63" s="1"/>
  <c r="G60" i="5"/>
  <c r="G61" s="1"/>
  <c r="G62" s="1"/>
  <c r="G63" s="1"/>
  <c r="G64" s="1"/>
  <c r="G65"/>
  <c r="I62"/>
  <c r="I63" s="1"/>
  <c r="I61"/>
  <c r="C79" i="8"/>
  <c r="I61" i="2"/>
  <c r="I63" i="4"/>
  <c r="I79" i="8"/>
  <c r="F79"/>
  <c r="G65" i="6"/>
  <c r="I62"/>
  <c r="I63" s="1"/>
  <c r="I61"/>
  <c r="G60"/>
  <c r="G61" s="1"/>
  <c r="G62" s="1"/>
  <c r="G63" s="1"/>
  <c r="G64" s="1"/>
  <c r="G60" i="3"/>
  <c r="G61" s="1"/>
  <c r="G62" s="1"/>
  <c r="G63" s="1"/>
  <c r="G64" s="1"/>
  <c r="G65"/>
  <c r="I62"/>
  <c r="I63" s="1"/>
  <c r="I61"/>
  <c r="K72" i="8" l="1"/>
  <c r="K73" s="1"/>
  <c r="K74" s="1"/>
  <c r="K75" s="1"/>
  <c r="K76" s="1"/>
  <c r="K77" s="1"/>
  <c r="K79" l="1"/>
</calcChain>
</file>

<file path=xl/sharedStrings.xml><?xml version="1.0" encoding="utf-8"?>
<sst xmlns="http://schemas.openxmlformats.org/spreadsheetml/2006/main" count="1079" uniqueCount="122">
  <si>
    <t>KENDRIYA VIDYALAYA NIT AGARTALA</t>
  </si>
  <si>
    <t>SESSION : 2025-26</t>
  </si>
  <si>
    <t>MARK-STATEMENT</t>
  </si>
  <si>
    <t>SSE</t>
  </si>
  <si>
    <t xml:space="preserve">Class :   VI </t>
  </si>
  <si>
    <r>
      <rPr>
        <b/>
        <sz val="12"/>
        <color theme="1"/>
        <rFont val="Arial"/>
      </rPr>
      <t>Subject:  Hindi</t>
    </r>
    <r>
      <rPr>
        <sz val="12"/>
        <color theme="1"/>
        <rFont val="Arial"/>
      </rPr>
      <t xml:space="preserve"> </t>
    </r>
  </si>
  <si>
    <r>
      <rPr>
        <b/>
        <sz val="12"/>
        <color theme="1"/>
        <rFont val="Arial"/>
      </rPr>
      <t>Subject:  Hindi</t>
    </r>
    <r>
      <rPr>
        <sz val="12"/>
        <color theme="1"/>
        <rFont val="Arial"/>
      </rPr>
      <t xml:space="preserve"> </t>
    </r>
  </si>
  <si>
    <t>No. of Ans. Book : 41</t>
  </si>
  <si>
    <t>Name of Examiner : Ms Susmita Dey</t>
  </si>
  <si>
    <t>Roll</t>
  </si>
  <si>
    <t>Name</t>
  </si>
  <si>
    <t xml:space="preserve">Marks </t>
  </si>
  <si>
    <t>% Marks</t>
  </si>
  <si>
    <t>ALIA AKTAR</t>
  </si>
  <si>
    <t>ANUSHA V</t>
  </si>
  <si>
    <t>ANUSHREE BEHERA</t>
  </si>
  <si>
    <t>ARNESHA DEBNATH</t>
  </si>
  <si>
    <t>ARSALA KHATUN</t>
  </si>
  <si>
    <t>BAISHALI DEBNATH</t>
  </si>
  <si>
    <t>BIPASHA DEBNATH</t>
  </si>
  <si>
    <t>CHANDRA DAS</t>
  </si>
  <si>
    <t>JENISHA DEBBARMA</t>
  </si>
  <si>
    <t>JIYA DEBBARMA</t>
  </si>
  <si>
    <t>JOYDIPA DAS</t>
  </si>
  <si>
    <t>MAITRI MAJUMDER</t>
  </si>
  <si>
    <t>NISHA BHOWMIK</t>
  </si>
  <si>
    <t>PALLABI DATTA</t>
  </si>
  <si>
    <t>PAYEL SANGMA</t>
  </si>
  <si>
    <t>SANVI ROY</t>
  </si>
  <si>
    <t>SUPARNA DAS</t>
  </si>
  <si>
    <t>TANEESHA PANUA</t>
  </si>
  <si>
    <t>TANHA AKTER</t>
  </si>
  <si>
    <t>ADRISH RAKSHIT</t>
  </si>
  <si>
    <t>ARNAV DEY</t>
  </si>
  <si>
    <t>ATIF ALAM</t>
  </si>
  <si>
    <t>AYASH DEBBARMA</t>
  </si>
  <si>
    <t>DEBAJYOTI RUDRAPAL</t>
  </si>
  <si>
    <t>DEEP RAJ BHOWMIK</t>
  </si>
  <si>
    <t>EMAN HUSSEN</t>
  </si>
  <si>
    <t>KHAKWCHANG DEBBARMA</t>
  </si>
  <si>
    <t>KUSH GUPTA</t>
  </si>
  <si>
    <t>MINTU KUMAR YADAV</t>
  </si>
  <si>
    <t>NAVDEEP SINGH</t>
  </si>
  <si>
    <t>NVK VARA PRASAD</t>
  </si>
  <si>
    <t>OMKAR DEBNATH</t>
  </si>
  <si>
    <t>PRITHI RAJ BHOWMIK</t>
  </si>
  <si>
    <t>RIK DEBNATH</t>
  </si>
  <si>
    <t>ROHITH KRISHNA R</t>
  </si>
  <si>
    <t>ROHIT KUMAR</t>
  </si>
  <si>
    <t>SAURAV SINHA</t>
  </si>
  <si>
    <t>SHANTANU DAS</t>
  </si>
  <si>
    <t>SHARTHAKI RUDRA PAUL</t>
  </si>
  <si>
    <t>SOMYANSHU SAHOO</t>
  </si>
  <si>
    <t>SUDIP ROY</t>
  </si>
  <si>
    <t>SUMANTA DEBBARMA</t>
  </si>
  <si>
    <t>*AB-Absent</t>
  </si>
  <si>
    <t>% Marks          [Result Analysis]</t>
  </si>
  <si>
    <t>90=&lt;</t>
  </si>
  <si>
    <t>Appered</t>
  </si>
  <si>
    <t>75-89.9</t>
  </si>
  <si>
    <t>Absent</t>
  </si>
  <si>
    <t>60-74.9</t>
  </si>
  <si>
    <t>Passed</t>
  </si>
  <si>
    <t>45-59.9</t>
  </si>
  <si>
    <t>Pass %</t>
  </si>
  <si>
    <t>33-44.9</t>
  </si>
  <si>
    <t>&lt;33</t>
  </si>
  <si>
    <t>Sign. of Examiner_________________</t>
  </si>
  <si>
    <t>Sign. of Checker_________________</t>
  </si>
  <si>
    <t>Principal</t>
  </si>
  <si>
    <t>PT 2</t>
  </si>
  <si>
    <t>Subject:  ENGLISH</t>
  </si>
  <si>
    <t>Name of Examiner : Ms. Saswati Das</t>
  </si>
  <si>
    <t>AB</t>
  </si>
  <si>
    <t>Subject: MATHS</t>
  </si>
  <si>
    <t xml:space="preserve">Mathematics </t>
  </si>
  <si>
    <t>Name of Examiner : Ms Nitu Sinha</t>
  </si>
  <si>
    <t>Subject:  SCIENCE</t>
  </si>
  <si>
    <t>No. of Ans. Book : 42</t>
  </si>
  <si>
    <t>Name of Examiner : Ms Jesmin Sinha</t>
  </si>
  <si>
    <t>Subject:  SOCIAL SCIENCE</t>
  </si>
  <si>
    <t>Subject: SOCIAL SCIENCE</t>
  </si>
  <si>
    <t>Name of Examiner : Mr Rajesh Singh</t>
  </si>
  <si>
    <t>Subject:    Sanskrit</t>
  </si>
  <si>
    <t>Subject:   AI</t>
  </si>
  <si>
    <t>Name of Examiner : Ms Smita Debnath</t>
  </si>
  <si>
    <t>PARENT TEACHER MEETING</t>
  </si>
  <si>
    <t>Date : 07-11-2025</t>
  </si>
  <si>
    <t>VI PT2</t>
  </si>
  <si>
    <t>Roll No.</t>
  </si>
  <si>
    <t>Name of Student</t>
  </si>
  <si>
    <t>Hin</t>
  </si>
  <si>
    <t>Eng</t>
  </si>
  <si>
    <t>Math</t>
  </si>
  <si>
    <t>Scie</t>
  </si>
  <si>
    <t>S.St.</t>
  </si>
  <si>
    <t>Skt</t>
  </si>
  <si>
    <t>A.I.</t>
  </si>
  <si>
    <t>Total</t>
  </si>
  <si>
    <t>Remarks</t>
  </si>
  <si>
    <t>Sign. of Parents</t>
  </si>
  <si>
    <t>M.M.-&gt;</t>
  </si>
  <si>
    <t>Class teacher</t>
  </si>
  <si>
    <t>Exam I/C</t>
  </si>
  <si>
    <t>Hindi</t>
  </si>
  <si>
    <t>English</t>
  </si>
  <si>
    <t>Maths</t>
  </si>
  <si>
    <t>Science</t>
  </si>
  <si>
    <t>Sanskrit</t>
  </si>
  <si>
    <t>Overall</t>
  </si>
  <si>
    <t>STANDARD RESULT ANALYSIS</t>
  </si>
  <si>
    <t>Total Strength</t>
  </si>
  <si>
    <t>Total Appeared</t>
  </si>
  <si>
    <t>RESULT ANALYSIS AS PER RO SILCHAR</t>
  </si>
  <si>
    <t>&lt;33%</t>
  </si>
  <si>
    <t>33 to &lt;40</t>
  </si>
  <si>
    <t>40 to &lt;50</t>
  </si>
  <si>
    <t>50 to &lt;60</t>
  </si>
  <si>
    <t>60 to &lt;70</t>
  </si>
  <si>
    <t>70 to &lt;80</t>
  </si>
  <si>
    <t>80 to &lt;90</t>
  </si>
  <si>
    <t>90 and above</t>
  </si>
</sst>
</file>

<file path=xl/styles.xml><?xml version="1.0" encoding="utf-8"?>
<styleSheet xmlns="http://schemas.openxmlformats.org/spreadsheetml/2006/main">
  <numFmts count="1">
    <numFmt numFmtId="164" formatCode="0.0"/>
  </numFmts>
  <fonts count="26">
    <font>
      <sz val="10"/>
      <color rgb="FF000000"/>
      <name val="Arial"/>
      <scheme val="minor"/>
    </font>
    <font>
      <sz val="17"/>
      <color theme="1"/>
      <name val="Impact"/>
    </font>
    <font>
      <b/>
      <sz val="14"/>
      <color theme="1"/>
      <name val="Arial"/>
    </font>
    <font>
      <b/>
      <u/>
      <sz val="12"/>
      <color theme="1"/>
      <name val="Arial"/>
    </font>
    <font>
      <b/>
      <sz val="13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sz val="11"/>
      <color rgb="FF000000"/>
      <name val="Calibri"/>
    </font>
    <font>
      <b/>
      <sz val="11"/>
      <color theme="1"/>
      <name val="Calibri"/>
    </font>
    <font>
      <sz val="13"/>
      <color theme="1"/>
      <name val="Arial"/>
    </font>
    <font>
      <sz val="10"/>
      <color rgb="FF000000"/>
      <name val="Arial"/>
    </font>
    <font>
      <sz val="9"/>
      <color theme="1"/>
      <name val="Arial"/>
    </font>
    <font>
      <sz val="22"/>
      <color theme="1"/>
      <name val="Impact"/>
    </font>
    <font>
      <b/>
      <u/>
      <sz val="15"/>
      <color theme="1"/>
      <name val="Arial"/>
    </font>
    <font>
      <b/>
      <sz val="13"/>
      <color rgb="FF1F1F1F"/>
      <name val="Arial"/>
    </font>
    <font>
      <b/>
      <i/>
      <sz val="13"/>
      <color theme="1"/>
      <name val="Arial"/>
    </font>
    <font>
      <b/>
      <sz val="14"/>
      <color theme="1"/>
      <name val="Calibri"/>
    </font>
    <font>
      <sz val="14"/>
      <color theme="1"/>
      <name val="Arial"/>
    </font>
    <font>
      <sz val="14"/>
      <color rgb="FFFFFFFF"/>
      <name val="Arial"/>
    </font>
    <font>
      <b/>
      <sz val="13"/>
      <color theme="1"/>
      <name val="Calibri"/>
    </font>
    <font>
      <sz val="11"/>
      <color theme="1"/>
      <name val="Calibri"/>
    </font>
    <font>
      <b/>
      <sz val="10"/>
      <color rgb="FFFFFFFF"/>
      <name val="Arial"/>
    </font>
    <font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434343"/>
        <bgColor rgb="FF434343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1" xfId="0" applyFont="1" applyBorder="1" applyAlignment="1">
      <alignment horizontal="center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3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14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0" xfId="0" applyFont="1"/>
    <xf numFmtId="0" fontId="8" fillId="0" borderId="5" xfId="0" applyFont="1" applyBorder="1"/>
    <xf numFmtId="0" fontId="7" fillId="0" borderId="6" xfId="0" applyFont="1" applyBorder="1" applyAlignment="1">
      <alignment horizontal="center"/>
    </xf>
    <xf numFmtId="0" fontId="8" fillId="0" borderId="8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8" xfId="0" applyFont="1" applyBorder="1"/>
    <xf numFmtId="164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/>
    <xf numFmtId="0" fontId="11" fillId="0" borderId="0" xfId="0" applyFont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17" fillId="2" borderId="9" xfId="0" applyFont="1" applyFill="1" applyBorder="1"/>
    <xf numFmtId="0" fontId="7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8" fillId="3" borderId="10" xfId="0" applyFont="1" applyFill="1" applyBorder="1"/>
    <xf numFmtId="0" fontId="8" fillId="3" borderId="11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center"/>
    </xf>
    <xf numFmtId="0" fontId="7" fillId="4" borderId="10" xfId="0" applyFont="1" applyFill="1" applyBorder="1"/>
    <xf numFmtId="0" fontId="11" fillId="4" borderId="11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0" fontId="7" fillId="6" borderId="12" xfId="0" applyFont="1" applyFill="1" applyBorder="1"/>
    <xf numFmtId="0" fontId="8" fillId="0" borderId="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8" borderId="11" xfId="0" applyFont="1" applyFill="1" applyBorder="1" applyAlignment="1">
      <alignment horizontal="center"/>
    </xf>
    <xf numFmtId="0" fontId="7" fillId="8" borderId="12" xfId="0" applyFont="1" applyFill="1" applyBorder="1"/>
    <xf numFmtId="0" fontId="8" fillId="8" borderId="1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24" fillId="9" borderId="11" xfId="0" applyFont="1" applyFill="1" applyBorder="1" applyAlignment="1">
      <alignment horizontal="center"/>
    </xf>
    <xf numFmtId="0" fontId="7" fillId="9" borderId="12" xfId="0" applyFont="1" applyFill="1" applyBorder="1"/>
    <xf numFmtId="0" fontId="24" fillId="9" borderId="12" xfId="0" applyFont="1" applyFill="1" applyBorder="1" applyAlignment="1">
      <alignment horizontal="center"/>
    </xf>
    <xf numFmtId="0" fontId="25" fillId="11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0" borderId="6" xfId="0" applyFont="1" applyBorder="1"/>
    <xf numFmtId="0" fontId="8" fillId="0" borderId="8" xfId="0" applyFont="1" applyBorder="1"/>
    <xf numFmtId="0" fontId="9" fillId="0" borderId="8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5" xfId="0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8" xfId="0" applyFont="1" applyBorder="1"/>
    <xf numFmtId="0" fontId="7" fillId="0" borderId="0" xfId="0" applyFont="1" applyAlignment="1">
      <alignment horizontal="center"/>
    </xf>
    <xf numFmtId="0" fontId="8" fillId="7" borderId="2" xfId="0" applyFont="1" applyFill="1" applyBorder="1" applyAlignment="1">
      <alignment horizontal="center" vertical="center" textRotation="90" wrapText="1"/>
    </xf>
    <xf numFmtId="0" fontId="9" fillId="0" borderId="13" xfId="0" applyFont="1" applyBorder="1"/>
    <xf numFmtId="0" fontId="8" fillId="10" borderId="14" xfId="0" applyFont="1" applyFill="1" applyBorder="1" applyAlignment="1">
      <alignment horizontal="center" textRotation="90" wrapText="1"/>
    </xf>
    <xf numFmtId="0" fontId="9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I1000"/>
  <sheetViews>
    <sheetView workbookViewId="0">
      <selection sqref="A1:D1"/>
    </sheetView>
  </sheetViews>
  <sheetFormatPr defaultColWidth="12.5703125" defaultRowHeight="15" customHeight="1"/>
  <cols>
    <col min="1" max="1" width="7.7109375" customWidth="1"/>
    <col min="2" max="2" width="27.140625" customWidth="1"/>
    <col min="3" max="3" width="7.140625" customWidth="1"/>
    <col min="4" max="4" width="18.7109375" customWidth="1"/>
    <col min="5" max="5" width="3.5703125" customWidth="1"/>
    <col min="6" max="6" width="8.140625" customWidth="1"/>
    <col min="7" max="7" width="26.42578125" customWidth="1"/>
    <col min="8" max="8" width="8.7109375" customWidth="1"/>
    <col min="9" max="9" width="14.140625" customWidth="1"/>
  </cols>
  <sheetData>
    <row r="1" spans="1:9" ht="30" customHeight="1">
      <c r="A1" s="80" t="s">
        <v>0</v>
      </c>
      <c r="B1" s="81"/>
      <c r="C1" s="81"/>
      <c r="D1" s="81"/>
      <c r="F1" s="80" t="s">
        <v>0</v>
      </c>
      <c r="G1" s="81"/>
      <c r="H1" s="81"/>
      <c r="I1" s="81"/>
    </row>
    <row r="2" spans="1:9" ht="15.75" customHeight="1">
      <c r="A2" s="82" t="s">
        <v>1</v>
      </c>
      <c r="B2" s="81"/>
      <c r="C2" s="81"/>
      <c r="D2" s="81"/>
      <c r="F2" s="82" t="s">
        <v>1</v>
      </c>
      <c r="G2" s="81"/>
      <c r="H2" s="81"/>
      <c r="I2" s="81"/>
    </row>
    <row r="3" spans="1:9" ht="15.75" customHeight="1">
      <c r="B3" s="1" t="s">
        <v>2</v>
      </c>
      <c r="D3" s="2" t="s">
        <v>3</v>
      </c>
      <c r="G3" s="1" t="s">
        <v>2</v>
      </c>
      <c r="I3" s="2" t="s">
        <v>3</v>
      </c>
    </row>
    <row r="4" spans="1:9" ht="15.75" customHeight="1">
      <c r="A4" s="3" t="s">
        <v>4</v>
      </c>
      <c r="B4" s="4"/>
      <c r="C4" s="4"/>
      <c r="F4" s="3" t="s">
        <v>4</v>
      </c>
      <c r="G4" s="4"/>
      <c r="H4" s="4"/>
    </row>
    <row r="5" spans="1:9" ht="15.75" customHeight="1">
      <c r="A5" s="3" t="s">
        <v>5</v>
      </c>
      <c r="B5" s="4"/>
      <c r="C5" s="4"/>
      <c r="F5" s="3" t="s">
        <v>6</v>
      </c>
      <c r="G5" s="4"/>
      <c r="H5" s="4"/>
    </row>
    <row r="6" spans="1:9" ht="15.75" customHeight="1">
      <c r="A6" s="5" t="s">
        <v>7</v>
      </c>
      <c r="B6" s="6">
        <v>42</v>
      </c>
      <c r="C6" s="7"/>
      <c r="D6" s="8"/>
      <c r="F6" s="5" t="s">
        <v>7</v>
      </c>
      <c r="G6" s="6">
        <v>42</v>
      </c>
      <c r="H6" s="7"/>
      <c r="I6" s="8"/>
    </row>
    <row r="7" spans="1:9" ht="15.75" customHeight="1">
      <c r="A7" s="9" t="s">
        <v>8</v>
      </c>
      <c r="B7" s="7"/>
      <c r="C7" s="7"/>
      <c r="D7" s="4"/>
      <c r="E7" s="4"/>
      <c r="F7" s="9" t="s">
        <v>8</v>
      </c>
      <c r="G7" s="10"/>
      <c r="H7" s="10"/>
    </row>
    <row r="8" spans="1:9" ht="15.75" customHeight="1">
      <c r="A8" s="83" t="s">
        <v>9</v>
      </c>
      <c r="B8" s="76" t="s">
        <v>10</v>
      </c>
      <c r="C8" s="11" t="s">
        <v>11</v>
      </c>
      <c r="D8" s="11" t="s">
        <v>12</v>
      </c>
      <c r="F8" s="83" t="s">
        <v>9</v>
      </c>
      <c r="G8" s="76" t="s">
        <v>10</v>
      </c>
      <c r="H8" s="11" t="s">
        <v>11</v>
      </c>
      <c r="I8" s="11" t="s">
        <v>12</v>
      </c>
    </row>
    <row r="9" spans="1:9" ht="15.75" customHeight="1">
      <c r="A9" s="84"/>
      <c r="B9" s="77"/>
      <c r="C9" s="12">
        <v>60</v>
      </c>
      <c r="D9" s="13"/>
      <c r="F9" s="84"/>
      <c r="G9" s="77"/>
      <c r="H9" s="12">
        <v>60</v>
      </c>
      <c r="I9" s="13"/>
    </row>
    <row r="10" spans="1:9" ht="15.75" customHeight="1">
      <c r="A10" s="14">
        <v>1</v>
      </c>
      <c r="B10" s="15" t="s">
        <v>13</v>
      </c>
      <c r="C10" s="16">
        <v>21</v>
      </c>
      <c r="D10" s="17">
        <f t="shared" ref="D10:D51" si="0">IF(UPPER(C10)="AB","AB",ROUND(((C10/C$9)*100),0))</f>
        <v>35</v>
      </c>
      <c r="F10" s="14">
        <v>1</v>
      </c>
      <c r="G10" s="15" t="s">
        <v>13</v>
      </c>
      <c r="H10" s="18">
        <f t="shared" ref="H10:H51" si="1">C10</f>
        <v>21</v>
      </c>
      <c r="I10" s="17">
        <f t="shared" ref="I10:I51" si="2">IF(UPPER(H10)="AB","AB",ROUND(((H10/H$9)*100),0))</f>
        <v>35</v>
      </c>
    </row>
    <row r="11" spans="1:9" ht="15.75" customHeight="1">
      <c r="A11" s="14">
        <v>2</v>
      </c>
      <c r="B11" s="15" t="s">
        <v>14</v>
      </c>
      <c r="C11" s="16">
        <v>41</v>
      </c>
      <c r="D11" s="17">
        <f t="shared" si="0"/>
        <v>68</v>
      </c>
      <c r="F11" s="14">
        <v>2</v>
      </c>
      <c r="G11" s="15" t="s">
        <v>14</v>
      </c>
      <c r="H11" s="18">
        <f t="shared" si="1"/>
        <v>41</v>
      </c>
      <c r="I11" s="17">
        <f t="shared" si="2"/>
        <v>68</v>
      </c>
    </row>
    <row r="12" spans="1:9" ht="15.75" customHeight="1">
      <c r="A12" s="14">
        <v>3</v>
      </c>
      <c r="B12" s="15" t="s">
        <v>15</v>
      </c>
      <c r="C12" s="16">
        <v>52</v>
      </c>
      <c r="D12" s="17">
        <f t="shared" si="0"/>
        <v>87</v>
      </c>
      <c r="F12" s="14">
        <v>3</v>
      </c>
      <c r="G12" s="15" t="s">
        <v>15</v>
      </c>
      <c r="H12" s="18">
        <f t="shared" si="1"/>
        <v>52</v>
      </c>
      <c r="I12" s="17">
        <f t="shared" si="2"/>
        <v>87</v>
      </c>
    </row>
    <row r="13" spans="1:9" ht="15.75" customHeight="1">
      <c r="A13" s="14">
        <v>4</v>
      </c>
      <c r="B13" s="15" t="s">
        <v>16</v>
      </c>
      <c r="C13" s="16">
        <v>51</v>
      </c>
      <c r="D13" s="17">
        <f t="shared" si="0"/>
        <v>85</v>
      </c>
      <c r="F13" s="14">
        <v>4</v>
      </c>
      <c r="G13" s="15" t="s">
        <v>16</v>
      </c>
      <c r="H13" s="18">
        <f t="shared" si="1"/>
        <v>51</v>
      </c>
      <c r="I13" s="17">
        <f t="shared" si="2"/>
        <v>85</v>
      </c>
    </row>
    <row r="14" spans="1:9" ht="15.75" customHeight="1">
      <c r="A14" s="14">
        <v>5</v>
      </c>
      <c r="B14" s="15" t="s">
        <v>17</v>
      </c>
      <c r="C14" s="16">
        <v>45</v>
      </c>
      <c r="D14" s="17">
        <f t="shared" si="0"/>
        <v>75</v>
      </c>
      <c r="F14" s="14">
        <v>5</v>
      </c>
      <c r="G14" s="15" t="s">
        <v>17</v>
      </c>
      <c r="H14" s="18">
        <f t="shared" si="1"/>
        <v>45</v>
      </c>
      <c r="I14" s="17">
        <f t="shared" si="2"/>
        <v>75</v>
      </c>
    </row>
    <row r="15" spans="1:9" ht="15.75" customHeight="1">
      <c r="A15" s="14">
        <v>6</v>
      </c>
      <c r="B15" s="15" t="s">
        <v>18</v>
      </c>
      <c r="C15" s="19">
        <v>36</v>
      </c>
      <c r="D15" s="17">
        <f t="shared" si="0"/>
        <v>60</v>
      </c>
      <c r="F15" s="14">
        <v>6</v>
      </c>
      <c r="G15" s="15" t="s">
        <v>18</v>
      </c>
      <c r="H15" s="18">
        <f t="shared" si="1"/>
        <v>36</v>
      </c>
      <c r="I15" s="17">
        <f t="shared" si="2"/>
        <v>60</v>
      </c>
    </row>
    <row r="16" spans="1:9" ht="15.75" customHeight="1">
      <c r="A16" s="14">
        <v>7</v>
      </c>
      <c r="B16" s="15" t="s">
        <v>19</v>
      </c>
      <c r="C16" s="19">
        <v>49</v>
      </c>
      <c r="D16" s="17">
        <f t="shared" si="0"/>
        <v>82</v>
      </c>
      <c r="F16" s="14">
        <v>7</v>
      </c>
      <c r="G16" s="15" t="s">
        <v>19</v>
      </c>
      <c r="H16" s="18">
        <f t="shared" si="1"/>
        <v>49</v>
      </c>
      <c r="I16" s="17">
        <f t="shared" si="2"/>
        <v>82</v>
      </c>
    </row>
    <row r="17" spans="1:9" ht="15.75" customHeight="1">
      <c r="A17" s="14">
        <v>8</v>
      </c>
      <c r="B17" s="15" t="s">
        <v>20</v>
      </c>
      <c r="C17" s="19">
        <v>13</v>
      </c>
      <c r="D17" s="17">
        <f t="shared" si="0"/>
        <v>22</v>
      </c>
      <c r="F17" s="14">
        <v>8</v>
      </c>
      <c r="G17" s="15" t="s">
        <v>20</v>
      </c>
      <c r="H17" s="18">
        <f t="shared" si="1"/>
        <v>13</v>
      </c>
      <c r="I17" s="17">
        <f t="shared" si="2"/>
        <v>22</v>
      </c>
    </row>
    <row r="18" spans="1:9" ht="15.75" customHeight="1">
      <c r="A18" s="14">
        <v>9</v>
      </c>
      <c r="B18" s="15" t="s">
        <v>21</v>
      </c>
      <c r="C18" s="19">
        <v>30</v>
      </c>
      <c r="D18" s="17">
        <f t="shared" si="0"/>
        <v>50</v>
      </c>
      <c r="F18" s="14">
        <v>9</v>
      </c>
      <c r="G18" s="15" t="s">
        <v>21</v>
      </c>
      <c r="H18" s="18">
        <f t="shared" si="1"/>
        <v>30</v>
      </c>
      <c r="I18" s="17">
        <f t="shared" si="2"/>
        <v>50</v>
      </c>
    </row>
    <row r="19" spans="1:9" ht="15.75" customHeight="1">
      <c r="A19" s="14">
        <v>10</v>
      </c>
      <c r="B19" s="15" t="s">
        <v>22</v>
      </c>
      <c r="C19" s="19">
        <v>12</v>
      </c>
      <c r="D19" s="17">
        <f t="shared" si="0"/>
        <v>20</v>
      </c>
      <c r="F19" s="14">
        <v>10</v>
      </c>
      <c r="G19" s="15" t="s">
        <v>22</v>
      </c>
      <c r="H19" s="18">
        <f t="shared" si="1"/>
        <v>12</v>
      </c>
      <c r="I19" s="17">
        <f t="shared" si="2"/>
        <v>20</v>
      </c>
    </row>
    <row r="20" spans="1:9" ht="15.75" customHeight="1">
      <c r="A20" s="14">
        <v>11</v>
      </c>
      <c r="B20" s="15" t="s">
        <v>23</v>
      </c>
      <c r="C20" s="16">
        <v>6</v>
      </c>
      <c r="D20" s="17">
        <f t="shared" si="0"/>
        <v>10</v>
      </c>
      <c r="F20" s="14">
        <v>11</v>
      </c>
      <c r="G20" s="15" t="s">
        <v>23</v>
      </c>
      <c r="H20" s="18">
        <f t="shared" si="1"/>
        <v>6</v>
      </c>
      <c r="I20" s="17">
        <f t="shared" si="2"/>
        <v>10</v>
      </c>
    </row>
    <row r="21" spans="1:9" ht="15.75" customHeight="1">
      <c r="A21" s="14">
        <v>12</v>
      </c>
      <c r="B21" s="15" t="s">
        <v>24</v>
      </c>
      <c r="C21" s="16">
        <v>34</v>
      </c>
      <c r="D21" s="17">
        <f t="shared" si="0"/>
        <v>57</v>
      </c>
      <c r="F21" s="14">
        <v>12</v>
      </c>
      <c r="G21" s="15" t="s">
        <v>24</v>
      </c>
      <c r="H21" s="18">
        <f t="shared" si="1"/>
        <v>34</v>
      </c>
      <c r="I21" s="17">
        <f t="shared" si="2"/>
        <v>57</v>
      </c>
    </row>
    <row r="22" spans="1:9" ht="15.75" customHeight="1">
      <c r="A22" s="14">
        <v>13</v>
      </c>
      <c r="B22" s="15" t="s">
        <v>25</v>
      </c>
      <c r="C22" s="19">
        <v>34</v>
      </c>
      <c r="D22" s="17">
        <f t="shared" si="0"/>
        <v>57</v>
      </c>
      <c r="F22" s="14">
        <v>13</v>
      </c>
      <c r="G22" s="15" t="s">
        <v>25</v>
      </c>
      <c r="H22" s="18">
        <f t="shared" si="1"/>
        <v>34</v>
      </c>
      <c r="I22" s="17">
        <f t="shared" si="2"/>
        <v>57</v>
      </c>
    </row>
    <row r="23" spans="1:9" ht="15.75" customHeight="1">
      <c r="A23" s="14">
        <v>14</v>
      </c>
      <c r="B23" s="15" t="s">
        <v>26</v>
      </c>
      <c r="C23" s="16">
        <v>46</v>
      </c>
      <c r="D23" s="17">
        <f t="shared" si="0"/>
        <v>77</v>
      </c>
      <c r="F23" s="14">
        <v>14</v>
      </c>
      <c r="G23" s="15" t="s">
        <v>26</v>
      </c>
      <c r="H23" s="18">
        <f t="shared" si="1"/>
        <v>46</v>
      </c>
      <c r="I23" s="17">
        <f t="shared" si="2"/>
        <v>77</v>
      </c>
    </row>
    <row r="24" spans="1:9" ht="15.75" customHeight="1">
      <c r="A24" s="14">
        <v>15</v>
      </c>
      <c r="B24" s="15" t="s">
        <v>27</v>
      </c>
      <c r="C24" s="19">
        <v>36</v>
      </c>
      <c r="D24" s="17">
        <f t="shared" si="0"/>
        <v>60</v>
      </c>
      <c r="F24" s="14">
        <v>15</v>
      </c>
      <c r="G24" s="15" t="s">
        <v>27</v>
      </c>
      <c r="H24" s="18">
        <f t="shared" si="1"/>
        <v>36</v>
      </c>
      <c r="I24" s="17">
        <f t="shared" si="2"/>
        <v>60</v>
      </c>
    </row>
    <row r="25" spans="1:9" ht="15.75" customHeight="1">
      <c r="A25" s="14">
        <v>16</v>
      </c>
      <c r="B25" s="15" t="s">
        <v>28</v>
      </c>
      <c r="C25" s="19">
        <v>52</v>
      </c>
      <c r="D25" s="17">
        <f t="shared" si="0"/>
        <v>87</v>
      </c>
      <c r="F25" s="14">
        <v>16</v>
      </c>
      <c r="G25" s="15" t="s">
        <v>28</v>
      </c>
      <c r="H25" s="18">
        <f t="shared" si="1"/>
        <v>52</v>
      </c>
      <c r="I25" s="17">
        <f t="shared" si="2"/>
        <v>87</v>
      </c>
    </row>
    <row r="26" spans="1:9" ht="15.75" customHeight="1">
      <c r="A26" s="14">
        <v>17</v>
      </c>
      <c r="B26" s="15" t="s">
        <v>29</v>
      </c>
      <c r="C26" s="19">
        <v>10</v>
      </c>
      <c r="D26" s="17">
        <f t="shared" si="0"/>
        <v>17</v>
      </c>
      <c r="F26" s="14">
        <v>17</v>
      </c>
      <c r="G26" s="15" t="s">
        <v>29</v>
      </c>
      <c r="H26" s="18">
        <f t="shared" si="1"/>
        <v>10</v>
      </c>
      <c r="I26" s="17">
        <f t="shared" si="2"/>
        <v>17</v>
      </c>
    </row>
    <row r="27" spans="1:9" ht="15.75" customHeight="1">
      <c r="A27" s="14">
        <v>18</v>
      </c>
      <c r="B27" s="15" t="s">
        <v>30</v>
      </c>
      <c r="C27" s="16">
        <v>56</v>
      </c>
      <c r="D27" s="17">
        <f t="shared" si="0"/>
        <v>93</v>
      </c>
      <c r="F27" s="14">
        <v>18</v>
      </c>
      <c r="G27" s="15" t="s">
        <v>30</v>
      </c>
      <c r="H27" s="18">
        <f t="shared" si="1"/>
        <v>56</v>
      </c>
      <c r="I27" s="17">
        <f t="shared" si="2"/>
        <v>93</v>
      </c>
    </row>
    <row r="28" spans="1:9" ht="15.75" customHeight="1">
      <c r="A28" s="14">
        <v>19</v>
      </c>
      <c r="B28" s="15" t="s">
        <v>31</v>
      </c>
      <c r="C28" s="16">
        <v>16</v>
      </c>
      <c r="D28" s="17">
        <f t="shared" si="0"/>
        <v>27</v>
      </c>
      <c r="F28" s="14">
        <v>19</v>
      </c>
      <c r="G28" s="15" t="s">
        <v>31</v>
      </c>
      <c r="H28" s="18">
        <f t="shared" si="1"/>
        <v>16</v>
      </c>
      <c r="I28" s="17">
        <f t="shared" si="2"/>
        <v>27</v>
      </c>
    </row>
    <row r="29" spans="1:9" ht="15.75" customHeight="1">
      <c r="A29" s="14">
        <v>20</v>
      </c>
      <c r="B29" s="15" t="s">
        <v>32</v>
      </c>
      <c r="C29" s="16">
        <v>58</v>
      </c>
      <c r="D29" s="17">
        <f t="shared" si="0"/>
        <v>97</v>
      </c>
      <c r="F29" s="14">
        <v>20</v>
      </c>
      <c r="G29" s="15" t="s">
        <v>32</v>
      </c>
      <c r="H29" s="18">
        <f t="shared" si="1"/>
        <v>58</v>
      </c>
      <c r="I29" s="17">
        <f t="shared" si="2"/>
        <v>97</v>
      </c>
    </row>
    <row r="30" spans="1:9" ht="15.75" customHeight="1">
      <c r="A30" s="14">
        <v>21</v>
      </c>
      <c r="B30" s="15" t="s">
        <v>33</v>
      </c>
      <c r="C30" s="16">
        <v>23</v>
      </c>
      <c r="D30" s="17">
        <f t="shared" si="0"/>
        <v>38</v>
      </c>
      <c r="F30" s="14">
        <v>21</v>
      </c>
      <c r="G30" s="15" t="s">
        <v>33</v>
      </c>
      <c r="H30" s="18">
        <f t="shared" si="1"/>
        <v>23</v>
      </c>
      <c r="I30" s="17">
        <f t="shared" si="2"/>
        <v>38</v>
      </c>
    </row>
    <row r="31" spans="1:9" ht="15.75" customHeight="1">
      <c r="A31" s="14">
        <v>22</v>
      </c>
      <c r="B31" s="15" t="s">
        <v>34</v>
      </c>
      <c r="C31" s="16">
        <v>27</v>
      </c>
      <c r="D31" s="17">
        <f t="shared" si="0"/>
        <v>45</v>
      </c>
      <c r="F31" s="14">
        <v>22</v>
      </c>
      <c r="G31" s="15" t="s">
        <v>34</v>
      </c>
      <c r="H31" s="18">
        <f t="shared" si="1"/>
        <v>27</v>
      </c>
      <c r="I31" s="17">
        <f t="shared" si="2"/>
        <v>45</v>
      </c>
    </row>
    <row r="32" spans="1:9" ht="15.75" customHeight="1">
      <c r="A32" s="14">
        <v>23</v>
      </c>
      <c r="B32" s="15" t="s">
        <v>35</v>
      </c>
      <c r="C32" s="16">
        <v>48</v>
      </c>
      <c r="D32" s="17">
        <f t="shared" si="0"/>
        <v>80</v>
      </c>
      <c r="F32" s="14">
        <v>23</v>
      </c>
      <c r="G32" s="15" t="s">
        <v>35</v>
      </c>
      <c r="H32" s="18">
        <f t="shared" si="1"/>
        <v>48</v>
      </c>
      <c r="I32" s="17">
        <f t="shared" si="2"/>
        <v>80</v>
      </c>
    </row>
    <row r="33" spans="1:9" ht="15.75" customHeight="1">
      <c r="A33" s="14">
        <v>24</v>
      </c>
      <c r="B33" s="15" t="s">
        <v>36</v>
      </c>
      <c r="C33" s="16">
        <v>55</v>
      </c>
      <c r="D33" s="17">
        <f t="shared" si="0"/>
        <v>92</v>
      </c>
      <c r="F33" s="14">
        <v>24</v>
      </c>
      <c r="G33" s="15" t="s">
        <v>36</v>
      </c>
      <c r="H33" s="18">
        <f t="shared" si="1"/>
        <v>55</v>
      </c>
      <c r="I33" s="17">
        <f t="shared" si="2"/>
        <v>92</v>
      </c>
    </row>
    <row r="34" spans="1:9" ht="15.75" customHeight="1">
      <c r="A34" s="14">
        <v>25</v>
      </c>
      <c r="B34" s="15" t="s">
        <v>37</v>
      </c>
      <c r="C34" s="16">
        <v>6</v>
      </c>
      <c r="D34" s="17">
        <f t="shared" si="0"/>
        <v>10</v>
      </c>
      <c r="F34" s="14">
        <v>25</v>
      </c>
      <c r="G34" s="15" t="s">
        <v>37</v>
      </c>
      <c r="H34" s="18">
        <f t="shared" si="1"/>
        <v>6</v>
      </c>
      <c r="I34" s="17">
        <f t="shared" si="2"/>
        <v>10</v>
      </c>
    </row>
    <row r="35" spans="1:9" ht="15.75" customHeight="1">
      <c r="A35" s="14">
        <v>26</v>
      </c>
      <c r="B35" s="15" t="s">
        <v>38</v>
      </c>
      <c r="C35" s="16">
        <v>15</v>
      </c>
      <c r="D35" s="17">
        <f t="shared" si="0"/>
        <v>25</v>
      </c>
      <c r="F35" s="14">
        <v>26</v>
      </c>
      <c r="G35" s="15" t="s">
        <v>38</v>
      </c>
      <c r="H35" s="18">
        <f t="shared" si="1"/>
        <v>15</v>
      </c>
      <c r="I35" s="17">
        <f t="shared" si="2"/>
        <v>25</v>
      </c>
    </row>
    <row r="36" spans="1:9" ht="15.75" customHeight="1">
      <c r="A36" s="14">
        <v>27</v>
      </c>
      <c r="B36" s="15" t="s">
        <v>39</v>
      </c>
      <c r="C36" s="16">
        <v>11</v>
      </c>
      <c r="D36" s="17">
        <f t="shared" si="0"/>
        <v>18</v>
      </c>
      <c r="F36" s="14">
        <v>27</v>
      </c>
      <c r="G36" s="15" t="s">
        <v>39</v>
      </c>
      <c r="H36" s="18">
        <f t="shared" si="1"/>
        <v>11</v>
      </c>
      <c r="I36" s="17">
        <f t="shared" si="2"/>
        <v>18</v>
      </c>
    </row>
    <row r="37" spans="1:9" ht="15.75" customHeight="1">
      <c r="A37" s="14">
        <v>28</v>
      </c>
      <c r="B37" s="15" t="s">
        <v>40</v>
      </c>
      <c r="C37" s="19">
        <v>38</v>
      </c>
      <c r="D37" s="17">
        <f t="shared" si="0"/>
        <v>63</v>
      </c>
      <c r="F37" s="14">
        <v>28</v>
      </c>
      <c r="G37" s="15" t="s">
        <v>40</v>
      </c>
      <c r="H37" s="18">
        <f t="shared" si="1"/>
        <v>38</v>
      </c>
      <c r="I37" s="17">
        <f t="shared" si="2"/>
        <v>63</v>
      </c>
    </row>
    <row r="38" spans="1:9" ht="15.75" customHeight="1">
      <c r="A38" s="14">
        <v>29</v>
      </c>
      <c r="B38" s="15" t="s">
        <v>41</v>
      </c>
      <c r="C38" s="16">
        <v>6</v>
      </c>
      <c r="D38" s="17">
        <f t="shared" si="0"/>
        <v>10</v>
      </c>
      <c r="F38" s="14">
        <v>29</v>
      </c>
      <c r="G38" s="15" t="s">
        <v>41</v>
      </c>
      <c r="H38" s="18">
        <f t="shared" si="1"/>
        <v>6</v>
      </c>
      <c r="I38" s="17">
        <f t="shared" si="2"/>
        <v>10</v>
      </c>
    </row>
    <row r="39" spans="1:9" ht="15.75" customHeight="1">
      <c r="A39" s="14">
        <v>30</v>
      </c>
      <c r="B39" s="15" t="s">
        <v>42</v>
      </c>
      <c r="C39" s="16">
        <v>9</v>
      </c>
      <c r="D39" s="17">
        <f t="shared" si="0"/>
        <v>15</v>
      </c>
      <c r="F39" s="14">
        <v>30</v>
      </c>
      <c r="G39" s="15" t="s">
        <v>42</v>
      </c>
      <c r="H39" s="18">
        <f t="shared" si="1"/>
        <v>9</v>
      </c>
      <c r="I39" s="17">
        <f t="shared" si="2"/>
        <v>15</v>
      </c>
    </row>
    <row r="40" spans="1:9" ht="15.75" customHeight="1">
      <c r="A40" s="14">
        <v>31</v>
      </c>
      <c r="B40" s="15" t="s">
        <v>43</v>
      </c>
      <c r="C40" s="16">
        <v>30</v>
      </c>
      <c r="D40" s="17">
        <f t="shared" si="0"/>
        <v>50</v>
      </c>
      <c r="F40" s="14">
        <v>31</v>
      </c>
      <c r="G40" s="15" t="s">
        <v>43</v>
      </c>
      <c r="H40" s="18">
        <f t="shared" si="1"/>
        <v>30</v>
      </c>
      <c r="I40" s="17">
        <f t="shared" si="2"/>
        <v>50</v>
      </c>
    </row>
    <row r="41" spans="1:9" ht="15.75" customHeight="1">
      <c r="A41" s="14">
        <v>32</v>
      </c>
      <c r="B41" s="15" t="s">
        <v>44</v>
      </c>
      <c r="C41" s="16">
        <v>55</v>
      </c>
      <c r="D41" s="17">
        <f t="shared" si="0"/>
        <v>92</v>
      </c>
      <c r="F41" s="14">
        <v>32</v>
      </c>
      <c r="G41" s="15" t="s">
        <v>44</v>
      </c>
      <c r="H41" s="18">
        <f t="shared" si="1"/>
        <v>55</v>
      </c>
      <c r="I41" s="17">
        <f t="shared" si="2"/>
        <v>92</v>
      </c>
    </row>
    <row r="42" spans="1:9" ht="15.75" customHeight="1">
      <c r="A42" s="14">
        <v>33</v>
      </c>
      <c r="B42" s="15" t="s">
        <v>45</v>
      </c>
      <c r="C42" s="19">
        <v>19</v>
      </c>
      <c r="D42" s="17">
        <f t="shared" si="0"/>
        <v>32</v>
      </c>
      <c r="F42" s="14">
        <v>33</v>
      </c>
      <c r="G42" s="15" t="s">
        <v>45</v>
      </c>
      <c r="H42" s="18">
        <f t="shared" si="1"/>
        <v>19</v>
      </c>
      <c r="I42" s="17">
        <f t="shared" si="2"/>
        <v>32</v>
      </c>
    </row>
    <row r="43" spans="1:9" ht="15.75" customHeight="1">
      <c r="A43" s="20">
        <v>34</v>
      </c>
      <c r="B43" s="21" t="s">
        <v>46</v>
      </c>
      <c r="C43" s="22">
        <v>42</v>
      </c>
      <c r="D43" s="23">
        <f t="shared" si="0"/>
        <v>70</v>
      </c>
      <c r="F43" s="20">
        <v>34</v>
      </c>
      <c r="G43" s="21" t="s">
        <v>46</v>
      </c>
      <c r="H43" s="24">
        <f t="shared" si="1"/>
        <v>42</v>
      </c>
      <c r="I43" s="23">
        <f t="shared" si="2"/>
        <v>70</v>
      </c>
    </row>
    <row r="44" spans="1:9" ht="15.75" customHeight="1">
      <c r="A44" s="14">
        <v>35</v>
      </c>
      <c r="B44" s="15" t="s">
        <v>47</v>
      </c>
      <c r="C44" s="16">
        <v>33</v>
      </c>
      <c r="D44" s="17">
        <f t="shared" si="0"/>
        <v>55</v>
      </c>
      <c r="E44" s="25"/>
      <c r="F44" s="14">
        <v>35</v>
      </c>
      <c r="G44" s="15" t="s">
        <v>47</v>
      </c>
      <c r="H44" s="18">
        <f t="shared" si="1"/>
        <v>33</v>
      </c>
      <c r="I44" s="17">
        <f t="shared" si="2"/>
        <v>55</v>
      </c>
    </row>
    <row r="45" spans="1:9" ht="15.75" customHeight="1">
      <c r="A45" s="14">
        <v>36</v>
      </c>
      <c r="B45" s="15" t="s">
        <v>48</v>
      </c>
      <c r="C45" s="16">
        <v>48</v>
      </c>
      <c r="D45" s="17">
        <f t="shared" si="0"/>
        <v>80</v>
      </c>
      <c r="E45" s="25"/>
      <c r="F45" s="14">
        <v>36</v>
      </c>
      <c r="G45" s="15" t="s">
        <v>48</v>
      </c>
      <c r="H45" s="18">
        <f t="shared" si="1"/>
        <v>48</v>
      </c>
      <c r="I45" s="17">
        <f t="shared" si="2"/>
        <v>80</v>
      </c>
    </row>
    <row r="46" spans="1:9" ht="15.75" customHeight="1">
      <c r="A46" s="14">
        <v>37</v>
      </c>
      <c r="B46" s="15" t="s">
        <v>49</v>
      </c>
      <c r="C46" s="16">
        <v>37</v>
      </c>
      <c r="D46" s="17">
        <f t="shared" si="0"/>
        <v>62</v>
      </c>
      <c r="E46" s="25"/>
      <c r="F46" s="14">
        <v>37</v>
      </c>
      <c r="G46" s="15" t="s">
        <v>49</v>
      </c>
      <c r="H46" s="18">
        <f t="shared" si="1"/>
        <v>37</v>
      </c>
      <c r="I46" s="17">
        <f t="shared" si="2"/>
        <v>62</v>
      </c>
    </row>
    <row r="47" spans="1:9" ht="15.75" customHeight="1">
      <c r="A47" s="14">
        <v>38</v>
      </c>
      <c r="B47" s="15" t="s">
        <v>50</v>
      </c>
      <c r="C47" s="16">
        <v>21</v>
      </c>
      <c r="D47" s="23">
        <f t="shared" si="0"/>
        <v>35</v>
      </c>
      <c r="E47" s="25"/>
      <c r="F47" s="14">
        <v>38</v>
      </c>
      <c r="G47" s="15" t="s">
        <v>50</v>
      </c>
      <c r="H47" s="18">
        <f t="shared" si="1"/>
        <v>21</v>
      </c>
      <c r="I47" s="23">
        <f t="shared" si="2"/>
        <v>35</v>
      </c>
    </row>
    <row r="48" spans="1:9" ht="15.75" customHeight="1">
      <c r="A48" s="14">
        <v>39</v>
      </c>
      <c r="B48" s="15" t="s">
        <v>51</v>
      </c>
      <c r="C48" s="16">
        <v>36</v>
      </c>
      <c r="D48" s="17">
        <f t="shared" si="0"/>
        <v>60</v>
      </c>
      <c r="E48" s="25"/>
      <c r="F48" s="14">
        <v>39</v>
      </c>
      <c r="G48" s="15" t="s">
        <v>51</v>
      </c>
      <c r="H48" s="18">
        <f t="shared" si="1"/>
        <v>36</v>
      </c>
      <c r="I48" s="17">
        <f t="shared" si="2"/>
        <v>60</v>
      </c>
    </row>
    <row r="49" spans="1:9" ht="15.75" customHeight="1">
      <c r="A49" s="14">
        <v>40</v>
      </c>
      <c r="B49" s="15" t="s">
        <v>52</v>
      </c>
      <c r="C49" s="16">
        <v>30</v>
      </c>
      <c r="D49" s="17">
        <f t="shared" si="0"/>
        <v>50</v>
      </c>
      <c r="E49" s="25"/>
      <c r="F49" s="14">
        <v>40</v>
      </c>
      <c r="G49" s="15" t="s">
        <v>52</v>
      </c>
      <c r="H49" s="24">
        <f t="shared" si="1"/>
        <v>30</v>
      </c>
      <c r="I49" s="17">
        <f t="shared" si="2"/>
        <v>50</v>
      </c>
    </row>
    <row r="50" spans="1:9" ht="15.75" customHeight="1">
      <c r="A50" s="14">
        <v>41</v>
      </c>
      <c r="B50" s="15" t="s">
        <v>53</v>
      </c>
      <c r="C50" s="16">
        <v>27</v>
      </c>
      <c r="D50" s="17">
        <f t="shared" si="0"/>
        <v>45</v>
      </c>
      <c r="E50" s="25"/>
      <c r="F50" s="14">
        <v>41</v>
      </c>
      <c r="G50" s="15" t="s">
        <v>53</v>
      </c>
      <c r="H50" s="18">
        <f t="shared" si="1"/>
        <v>27</v>
      </c>
      <c r="I50" s="17">
        <f t="shared" si="2"/>
        <v>45</v>
      </c>
    </row>
    <row r="51" spans="1:9" ht="15.75" customHeight="1">
      <c r="A51" s="26">
        <v>42</v>
      </c>
      <c r="B51" s="27" t="s">
        <v>54</v>
      </c>
      <c r="C51" s="19">
        <v>38</v>
      </c>
      <c r="D51" s="23">
        <f t="shared" si="0"/>
        <v>63</v>
      </c>
      <c r="E51" s="25"/>
      <c r="F51" s="14">
        <v>42</v>
      </c>
      <c r="G51" s="27" t="s">
        <v>54</v>
      </c>
      <c r="H51" s="18">
        <f t="shared" si="1"/>
        <v>38</v>
      </c>
      <c r="I51" s="23">
        <f t="shared" si="2"/>
        <v>63</v>
      </c>
    </row>
    <row r="52" spans="1:9" ht="15.75" customHeight="1">
      <c r="A52" s="26"/>
      <c r="B52" s="28"/>
      <c r="C52" s="29"/>
      <c r="D52" s="17"/>
      <c r="E52" s="25"/>
      <c r="F52" s="14"/>
      <c r="G52" s="28"/>
      <c r="H52" s="18"/>
      <c r="I52" s="17"/>
    </row>
    <row r="53" spans="1:9" ht="15.75" customHeight="1">
      <c r="A53" s="26"/>
      <c r="B53" s="27"/>
      <c r="C53" s="29"/>
      <c r="D53" s="17"/>
      <c r="E53" s="25"/>
      <c r="F53" s="14"/>
      <c r="G53" s="27"/>
      <c r="H53" s="18"/>
      <c r="I53" s="17"/>
    </row>
    <row r="54" spans="1:9" ht="15.75" customHeight="1">
      <c r="A54" s="26"/>
      <c r="B54" s="27"/>
      <c r="C54" s="29"/>
      <c r="D54" s="17"/>
      <c r="E54" s="25"/>
      <c r="F54" s="14"/>
      <c r="G54" s="27"/>
      <c r="H54" s="18"/>
      <c r="I54" s="17"/>
    </row>
    <row r="55" spans="1:9" ht="15.75" customHeight="1">
      <c r="A55" s="26"/>
      <c r="B55" s="27"/>
      <c r="C55" s="29"/>
      <c r="D55" s="23"/>
      <c r="E55" s="25"/>
      <c r="F55" s="14"/>
      <c r="G55" s="27"/>
      <c r="H55" s="24"/>
      <c r="I55" s="23"/>
    </row>
    <row r="56" spans="1:9" ht="15.75" customHeight="1">
      <c r="A56" s="26"/>
      <c r="B56" s="27"/>
      <c r="C56" s="29"/>
      <c r="D56" s="17"/>
      <c r="E56" s="25"/>
      <c r="F56" s="14"/>
      <c r="G56" s="27"/>
      <c r="H56" s="18"/>
      <c r="I56" s="17"/>
    </row>
    <row r="57" spans="1:9" ht="15.75" customHeight="1">
      <c r="A57" s="27"/>
      <c r="B57" s="27"/>
      <c r="C57" s="29"/>
      <c r="D57" s="17"/>
      <c r="E57" s="25"/>
      <c r="F57" s="27"/>
      <c r="G57" s="27"/>
      <c r="H57" s="18"/>
      <c r="I57" s="17"/>
    </row>
    <row r="58" spans="1:9" ht="15.75" customHeight="1">
      <c r="A58" s="8"/>
      <c r="B58" s="8"/>
      <c r="C58" s="8"/>
      <c r="D58" s="30" t="s">
        <v>55</v>
      </c>
      <c r="F58" s="8"/>
      <c r="G58" s="8"/>
      <c r="H58" s="8"/>
      <c r="I58" s="30" t="s">
        <v>55</v>
      </c>
    </row>
    <row r="59" spans="1:9" ht="15.75" customHeight="1">
      <c r="A59" s="78" t="s">
        <v>56</v>
      </c>
      <c r="B59" s="79"/>
      <c r="C59" s="8"/>
      <c r="D59" s="8"/>
      <c r="F59" s="78" t="s">
        <v>56</v>
      </c>
      <c r="G59" s="79"/>
      <c r="H59" s="8"/>
      <c r="I59" s="8"/>
    </row>
    <row r="60" spans="1:9" ht="15.75" customHeight="1">
      <c r="A60" s="31" t="s">
        <v>57</v>
      </c>
      <c r="B60" s="32">
        <f>COUNTIF(D10:D57,"&gt;=90")</f>
        <v>4</v>
      </c>
      <c r="C60" s="30" t="s">
        <v>58</v>
      </c>
      <c r="D60" s="33">
        <f>COUNT(H10:H57)</f>
        <v>42</v>
      </c>
      <c r="F60" s="31" t="s">
        <v>57</v>
      </c>
      <c r="G60" s="32">
        <f>COUNTIF(I10:I57,"&gt;=90")</f>
        <v>4</v>
      </c>
      <c r="H60" s="30" t="s">
        <v>58</v>
      </c>
      <c r="I60" s="33">
        <f>COUNT(H10:H57)</f>
        <v>42</v>
      </c>
    </row>
    <row r="61" spans="1:9" ht="15.75" customHeight="1">
      <c r="A61" s="31" t="s">
        <v>59</v>
      </c>
      <c r="B61" s="32">
        <f>COUNTIF(D10:D57,"&gt;=75")-B60</f>
        <v>8</v>
      </c>
      <c r="C61" s="30" t="s">
        <v>60</v>
      </c>
      <c r="D61" s="34">
        <f>COUNTIF(D10:D57,"=AB")</f>
        <v>0</v>
      </c>
      <c r="F61" s="31" t="s">
        <v>59</v>
      </c>
      <c r="G61" s="32">
        <f>COUNTIF(I10:I57,"&gt;=75")-G60</f>
        <v>8</v>
      </c>
      <c r="H61" s="30" t="s">
        <v>60</v>
      </c>
      <c r="I61" s="34">
        <f>COUNTIF(I10:I57,"=AB")</f>
        <v>0</v>
      </c>
    </row>
    <row r="62" spans="1:9" ht="15.75" customHeight="1">
      <c r="A62" s="31" t="s">
        <v>61</v>
      </c>
      <c r="B62" s="32">
        <f>COUNTIF(D10:D57,"&gt;=60")-B61-B60</f>
        <v>8</v>
      </c>
      <c r="C62" s="30" t="s">
        <v>62</v>
      </c>
      <c r="D62" s="35">
        <f>COUNTIF(D10:D57,"&gt;=33")</f>
        <v>31</v>
      </c>
      <c r="F62" s="31" t="s">
        <v>61</v>
      </c>
      <c r="G62" s="32">
        <f>COUNTIF(I10:I57,"&gt;=60")-G61-G60</f>
        <v>8</v>
      </c>
      <c r="H62" s="30" t="s">
        <v>62</v>
      </c>
      <c r="I62" s="35">
        <f>COUNTIF(I10:I57,"&gt;=33")</f>
        <v>31</v>
      </c>
    </row>
    <row r="63" spans="1:9" ht="15.75" customHeight="1">
      <c r="A63" s="31" t="s">
        <v>63</v>
      </c>
      <c r="B63" s="32">
        <f>COUNTIF(D10:D57,"&gt;=45")-B62-B61-B60</f>
        <v>8</v>
      </c>
      <c r="C63" s="30" t="s">
        <v>64</v>
      </c>
      <c r="D63" s="34">
        <f>(D62/D60)*100</f>
        <v>73.80952380952381</v>
      </c>
      <c r="F63" s="31" t="s">
        <v>63</v>
      </c>
      <c r="G63" s="32">
        <f>COUNTIF(I10:I57,"&gt;=45")-G62-G61-G60</f>
        <v>8</v>
      </c>
      <c r="H63" s="30" t="s">
        <v>64</v>
      </c>
      <c r="I63" s="34">
        <f>(I62/I60)*100</f>
        <v>73.80952380952381</v>
      </c>
    </row>
    <row r="64" spans="1:9" ht="15.75" customHeight="1">
      <c r="A64" s="31" t="s">
        <v>65</v>
      </c>
      <c r="B64" s="32">
        <f>COUNTIF(D10:D57,"&gt;=33")-B63-B62-B61-B60</f>
        <v>3</v>
      </c>
      <c r="C64" s="8"/>
      <c r="D64" s="8"/>
      <c r="F64" s="31" t="s">
        <v>65</v>
      </c>
      <c r="G64" s="32">
        <f>COUNTIF(I10:I57,"&gt;=33")-G63-G62-G61-G60</f>
        <v>3</v>
      </c>
      <c r="H64" s="8"/>
      <c r="I64" s="8"/>
    </row>
    <row r="65" spans="1:9" ht="15.75" customHeight="1">
      <c r="A65" s="31" t="s">
        <v>66</v>
      </c>
      <c r="B65" s="32">
        <f>COUNTIF(D10:D57,"&lt;33")-COUNTIF(D10:D57,"=0.0")</f>
        <v>11</v>
      </c>
      <c r="C65" s="8"/>
      <c r="D65" s="8"/>
      <c r="F65" s="31" t="s">
        <v>66</v>
      </c>
      <c r="G65" s="32">
        <f>COUNTIF(I10:I57,"&lt;33")-COUNTIF(I10:I57,"=0.0")</f>
        <v>11</v>
      </c>
      <c r="H65" s="8"/>
      <c r="I65" s="8"/>
    </row>
    <row r="66" spans="1:9" ht="15.75" customHeight="1">
      <c r="A66" s="8"/>
      <c r="B66" s="8"/>
      <c r="C66" s="8"/>
      <c r="D66" s="8"/>
      <c r="F66" s="8"/>
      <c r="G66" s="8"/>
      <c r="H66" s="8"/>
      <c r="I66" s="8"/>
    </row>
    <row r="67" spans="1:9" ht="15.75" customHeight="1">
      <c r="A67" s="30" t="s">
        <v>67</v>
      </c>
      <c r="B67" s="8"/>
      <c r="C67" s="8"/>
      <c r="D67" s="36"/>
      <c r="F67" s="30" t="s">
        <v>67</v>
      </c>
      <c r="G67" s="8"/>
      <c r="H67" s="8"/>
      <c r="I67" s="36"/>
    </row>
    <row r="68" spans="1:9" ht="15.75" customHeight="1">
      <c r="A68" s="30" t="s">
        <v>68</v>
      </c>
      <c r="B68" s="8"/>
      <c r="C68" s="8"/>
      <c r="D68" s="30" t="s">
        <v>69</v>
      </c>
      <c r="F68" s="30" t="s">
        <v>68</v>
      </c>
      <c r="G68" s="8"/>
      <c r="H68" s="8"/>
      <c r="I68" s="30" t="s">
        <v>69</v>
      </c>
    </row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B9"/>
    <mergeCell ref="A59:B59"/>
    <mergeCell ref="F59:G59"/>
    <mergeCell ref="A1:D1"/>
    <mergeCell ref="F1:I1"/>
    <mergeCell ref="A2:D2"/>
    <mergeCell ref="F2:I2"/>
    <mergeCell ref="A8:A9"/>
    <mergeCell ref="F8:F9"/>
    <mergeCell ref="G8:G9"/>
  </mergeCells>
  <printOptions horizontalCentered="1" gridLines="1"/>
  <pageMargins left="0.25" right="0.25" top="0.75" bottom="0.75" header="0" footer="0"/>
  <pageSetup paperSize="9" fitToWidth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I1000"/>
  <sheetViews>
    <sheetView workbookViewId="0"/>
  </sheetViews>
  <sheetFormatPr defaultColWidth="12.5703125" defaultRowHeight="15" customHeight="1"/>
  <cols>
    <col min="1" max="1" width="7.7109375" customWidth="1"/>
    <col min="2" max="2" width="27.140625" customWidth="1"/>
    <col min="3" max="3" width="7.140625" customWidth="1"/>
    <col min="4" max="4" width="18.7109375" customWidth="1"/>
    <col min="5" max="5" width="3.5703125" customWidth="1"/>
    <col min="6" max="6" width="8.140625" customWidth="1"/>
    <col min="7" max="7" width="26.42578125" customWidth="1"/>
    <col min="8" max="8" width="8.7109375" customWidth="1"/>
    <col min="9" max="9" width="14.140625" customWidth="1"/>
  </cols>
  <sheetData>
    <row r="1" spans="1:9" ht="30.75" customHeight="1">
      <c r="A1" s="80" t="s">
        <v>0</v>
      </c>
      <c r="B1" s="81"/>
      <c r="C1" s="81"/>
      <c r="D1" s="81"/>
      <c r="F1" s="80" t="s">
        <v>0</v>
      </c>
      <c r="G1" s="81"/>
      <c r="H1" s="81"/>
      <c r="I1" s="81"/>
    </row>
    <row r="2" spans="1:9" ht="15.75" customHeight="1">
      <c r="A2" s="82" t="s">
        <v>1</v>
      </c>
      <c r="B2" s="81"/>
      <c r="C2" s="81"/>
      <c r="D2" s="81"/>
      <c r="F2" s="82" t="s">
        <v>1</v>
      </c>
      <c r="G2" s="81"/>
      <c r="H2" s="81"/>
      <c r="I2" s="81"/>
    </row>
    <row r="3" spans="1:9" ht="15.75" customHeight="1">
      <c r="B3" s="1" t="s">
        <v>2</v>
      </c>
      <c r="D3" s="2" t="s">
        <v>70</v>
      </c>
      <c r="G3" s="1" t="s">
        <v>2</v>
      </c>
      <c r="I3" s="2" t="s">
        <v>70</v>
      </c>
    </row>
    <row r="4" spans="1:9" ht="15.75" customHeight="1">
      <c r="A4" s="3" t="s">
        <v>4</v>
      </c>
      <c r="B4" s="4"/>
      <c r="C4" s="4"/>
      <c r="F4" s="3" t="s">
        <v>4</v>
      </c>
      <c r="G4" s="4"/>
      <c r="H4" s="4"/>
    </row>
    <row r="5" spans="1:9" ht="15.75" customHeight="1">
      <c r="A5" s="3" t="s">
        <v>71</v>
      </c>
      <c r="B5" s="3"/>
      <c r="C5" s="4"/>
      <c r="F5" s="3" t="s">
        <v>71</v>
      </c>
      <c r="G5" s="3"/>
      <c r="H5" s="4"/>
    </row>
    <row r="6" spans="1:9" ht="15.75" customHeight="1">
      <c r="A6" s="9" t="s">
        <v>7</v>
      </c>
      <c r="B6" s="7"/>
      <c r="C6" s="7"/>
      <c r="D6" s="8"/>
      <c r="F6" s="9" t="s">
        <v>7</v>
      </c>
      <c r="G6" s="7"/>
      <c r="H6" s="7"/>
      <c r="I6" s="8"/>
    </row>
    <row r="7" spans="1:9" ht="15.75" customHeight="1">
      <c r="A7" s="9" t="s">
        <v>72</v>
      </c>
      <c r="B7" s="7"/>
      <c r="C7" s="7"/>
      <c r="D7" s="4"/>
      <c r="E7" s="4"/>
      <c r="F7" s="9" t="s">
        <v>72</v>
      </c>
      <c r="G7" s="10"/>
      <c r="H7" s="10"/>
    </row>
    <row r="8" spans="1:9" ht="15.75" customHeight="1">
      <c r="A8" s="83" t="s">
        <v>9</v>
      </c>
      <c r="B8" s="76" t="s">
        <v>10</v>
      </c>
      <c r="C8" s="11" t="s">
        <v>11</v>
      </c>
      <c r="D8" s="11" t="s">
        <v>12</v>
      </c>
      <c r="F8" s="83" t="s">
        <v>9</v>
      </c>
      <c r="G8" s="76" t="s">
        <v>10</v>
      </c>
      <c r="H8" s="11" t="s">
        <v>11</v>
      </c>
      <c r="I8" s="11" t="s">
        <v>12</v>
      </c>
    </row>
    <row r="9" spans="1:9" ht="15.75" customHeight="1">
      <c r="A9" s="84"/>
      <c r="B9" s="77"/>
      <c r="C9" s="12">
        <v>40</v>
      </c>
      <c r="D9" s="13"/>
      <c r="F9" s="84"/>
      <c r="G9" s="77"/>
      <c r="H9" s="12">
        <v>40</v>
      </c>
      <c r="I9" s="13"/>
    </row>
    <row r="10" spans="1:9" ht="15.75" customHeight="1">
      <c r="A10" s="14">
        <v>1</v>
      </c>
      <c r="B10" s="15" t="s">
        <v>13</v>
      </c>
      <c r="C10" s="16">
        <v>27</v>
      </c>
      <c r="D10" s="17">
        <f t="shared" ref="D10:D51" si="0">IF(UPPER(C10)="AB","AB",ROUND(((C10/C$9)*100),0))</f>
        <v>68</v>
      </c>
      <c r="F10" s="14">
        <v>1</v>
      </c>
      <c r="G10" s="15" t="s">
        <v>13</v>
      </c>
      <c r="H10" s="18">
        <f t="shared" ref="H10:H51" si="1">C10</f>
        <v>27</v>
      </c>
      <c r="I10" s="17">
        <f t="shared" ref="I10:I51" si="2">IF(UPPER(H10)="AB","AB",ROUND(((H10/H$9)*100),0))</f>
        <v>68</v>
      </c>
    </row>
    <row r="11" spans="1:9" ht="15.75" customHeight="1">
      <c r="A11" s="14">
        <v>2</v>
      </c>
      <c r="B11" s="15" t="s">
        <v>14</v>
      </c>
      <c r="C11" s="16">
        <v>10</v>
      </c>
      <c r="D11" s="17">
        <f t="shared" si="0"/>
        <v>25</v>
      </c>
      <c r="F11" s="14">
        <v>2</v>
      </c>
      <c r="G11" s="15" t="s">
        <v>14</v>
      </c>
      <c r="H11" s="18">
        <f t="shared" si="1"/>
        <v>10</v>
      </c>
      <c r="I11" s="17">
        <f t="shared" si="2"/>
        <v>25</v>
      </c>
    </row>
    <row r="12" spans="1:9" ht="15.75" customHeight="1">
      <c r="A12" s="14">
        <v>3</v>
      </c>
      <c r="B12" s="15" t="s">
        <v>15</v>
      </c>
      <c r="C12" s="16">
        <v>17</v>
      </c>
      <c r="D12" s="17">
        <f t="shared" si="0"/>
        <v>43</v>
      </c>
      <c r="F12" s="14">
        <v>3</v>
      </c>
      <c r="G12" s="15" t="s">
        <v>15</v>
      </c>
      <c r="H12" s="18">
        <f t="shared" si="1"/>
        <v>17</v>
      </c>
      <c r="I12" s="17">
        <f t="shared" si="2"/>
        <v>43</v>
      </c>
    </row>
    <row r="13" spans="1:9" ht="15.75" customHeight="1">
      <c r="A13" s="14">
        <v>4</v>
      </c>
      <c r="B13" s="15" t="s">
        <v>16</v>
      </c>
      <c r="C13" s="16">
        <v>30</v>
      </c>
      <c r="D13" s="17">
        <f t="shared" si="0"/>
        <v>75</v>
      </c>
      <c r="F13" s="14">
        <v>4</v>
      </c>
      <c r="G13" s="15" t="s">
        <v>16</v>
      </c>
      <c r="H13" s="18">
        <f t="shared" si="1"/>
        <v>30</v>
      </c>
      <c r="I13" s="17">
        <f t="shared" si="2"/>
        <v>75</v>
      </c>
    </row>
    <row r="14" spans="1:9" ht="15.75" customHeight="1">
      <c r="A14" s="14">
        <v>5</v>
      </c>
      <c r="B14" s="15" t="s">
        <v>17</v>
      </c>
      <c r="C14" s="16">
        <v>24</v>
      </c>
      <c r="D14" s="17">
        <f t="shared" si="0"/>
        <v>60</v>
      </c>
      <c r="F14" s="14">
        <v>5</v>
      </c>
      <c r="G14" s="15" t="s">
        <v>17</v>
      </c>
      <c r="H14" s="18">
        <f t="shared" si="1"/>
        <v>24</v>
      </c>
      <c r="I14" s="17">
        <f t="shared" si="2"/>
        <v>60</v>
      </c>
    </row>
    <row r="15" spans="1:9" ht="15.75" customHeight="1">
      <c r="A15" s="14">
        <v>6</v>
      </c>
      <c r="B15" s="15" t="s">
        <v>18</v>
      </c>
      <c r="C15" s="19">
        <v>27</v>
      </c>
      <c r="D15" s="17">
        <f t="shared" si="0"/>
        <v>68</v>
      </c>
      <c r="F15" s="14">
        <v>6</v>
      </c>
      <c r="G15" s="15" t="s">
        <v>18</v>
      </c>
      <c r="H15" s="18">
        <f t="shared" si="1"/>
        <v>27</v>
      </c>
      <c r="I15" s="17">
        <f t="shared" si="2"/>
        <v>68</v>
      </c>
    </row>
    <row r="16" spans="1:9" ht="15.75" customHeight="1">
      <c r="A16" s="14">
        <v>7</v>
      </c>
      <c r="B16" s="15" t="s">
        <v>19</v>
      </c>
      <c r="C16" s="19">
        <v>35</v>
      </c>
      <c r="D16" s="17">
        <f t="shared" si="0"/>
        <v>88</v>
      </c>
      <c r="F16" s="14">
        <v>7</v>
      </c>
      <c r="G16" s="15" t="s">
        <v>19</v>
      </c>
      <c r="H16" s="18">
        <f t="shared" si="1"/>
        <v>35</v>
      </c>
      <c r="I16" s="17">
        <f t="shared" si="2"/>
        <v>88</v>
      </c>
    </row>
    <row r="17" spans="1:9" ht="15.75" customHeight="1">
      <c r="A17" s="14">
        <v>8</v>
      </c>
      <c r="B17" s="15" t="s">
        <v>20</v>
      </c>
      <c r="C17" s="19">
        <v>6</v>
      </c>
      <c r="D17" s="17">
        <f t="shared" si="0"/>
        <v>15</v>
      </c>
      <c r="F17" s="14">
        <v>8</v>
      </c>
      <c r="G17" s="15" t="s">
        <v>20</v>
      </c>
      <c r="H17" s="18">
        <f t="shared" si="1"/>
        <v>6</v>
      </c>
      <c r="I17" s="17">
        <f t="shared" si="2"/>
        <v>15</v>
      </c>
    </row>
    <row r="18" spans="1:9" ht="15.75" customHeight="1">
      <c r="A18" s="14">
        <v>9</v>
      </c>
      <c r="B18" s="15" t="s">
        <v>21</v>
      </c>
      <c r="C18" s="19">
        <v>24</v>
      </c>
      <c r="D18" s="17">
        <f t="shared" si="0"/>
        <v>60</v>
      </c>
      <c r="F18" s="14">
        <v>9</v>
      </c>
      <c r="G18" s="15" t="s">
        <v>21</v>
      </c>
      <c r="H18" s="18">
        <f t="shared" si="1"/>
        <v>24</v>
      </c>
      <c r="I18" s="17">
        <f t="shared" si="2"/>
        <v>60</v>
      </c>
    </row>
    <row r="19" spans="1:9" ht="15.75" customHeight="1">
      <c r="A19" s="14">
        <v>10</v>
      </c>
      <c r="B19" s="15" t="s">
        <v>22</v>
      </c>
      <c r="C19" s="19">
        <v>9</v>
      </c>
      <c r="D19" s="17">
        <f t="shared" si="0"/>
        <v>23</v>
      </c>
      <c r="F19" s="14">
        <v>10</v>
      </c>
      <c r="G19" s="15" t="s">
        <v>22</v>
      </c>
      <c r="H19" s="18">
        <f t="shared" si="1"/>
        <v>9</v>
      </c>
      <c r="I19" s="17">
        <f t="shared" si="2"/>
        <v>23</v>
      </c>
    </row>
    <row r="20" spans="1:9" ht="15.75" customHeight="1">
      <c r="A20" s="14">
        <v>11</v>
      </c>
      <c r="B20" s="15" t="s">
        <v>23</v>
      </c>
      <c r="C20" s="16">
        <v>11</v>
      </c>
      <c r="D20" s="17">
        <f t="shared" si="0"/>
        <v>28</v>
      </c>
      <c r="F20" s="14">
        <v>11</v>
      </c>
      <c r="G20" s="15" t="s">
        <v>23</v>
      </c>
      <c r="H20" s="18">
        <f t="shared" si="1"/>
        <v>11</v>
      </c>
      <c r="I20" s="17">
        <f t="shared" si="2"/>
        <v>28</v>
      </c>
    </row>
    <row r="21" spans="1:9" ht="15.75" customHeight="1">
      <c r="A21" s="14">
        <v>12</v>
      </c>
      <c r="B21" s="15" t="s">
        <v>24</v>
      </c>
      <c r="C21" s="16">
        <v>11</v>
      </c>
      <c r="D21" s="17">
        <f t="shared" si="0"/>
        <v>28</v>
      </c>
      <c r="F21" s="14">
        <v>12</v>
      </c>
      <c r="G21" s="15" t="s">
        <v>24</v>
      </c>
      <c r="H21" s="18">
        <f t="shared" si="1"/>
        <v>11</v>
      </c>
      <c r="I21" s="17">
        <f t="shared" si="2"/>
        <v>28</v>
      </c>
    </row>
    <row r="22" spans="1:9" ht="15.75" customHeight="1">
      <c r="A22" s="14">
        <v>13</v>
      </c>
      <c r="B22" s="15" t="s">
        <v>25</v>
      </c>
      <c r="C22" s="19">
        <v>24</v>
      </c>
      <c r="D22" s="17">
        <f t="shared" si="0"/>
        <v>60</v>
      </c>
      <c r="F22" s="14">
        <v>13</v>
      </c>
      <c r="G22" s="15" t="s">
        <v>25</v>
      </c>
      <c r="H22" s="18">
        <f t="shared" si="1"/>
        <v>24</v>
      </c>
      <c r="I22" s="17">
        <f t="shared" si="2"/>
        <v>60</v>
      </c>
    </row>
    <row r="23" spans="1:9" ht="15.75" customHeight="1">
      <c r="A23" s="14">
        <v>14</v>
      </c>
      <c r="B23" s="15" t="s">
        <v>26</v>
      </c>
      <c r="C23" s="16">
        <v>29</v>
      </c>
      <c r="D23" s="17">
        <f t="shared" si="0"/>
        <v>73</v>
      </c>
      <c r="F23" s="14">
        <v>14</v>
      </c>
      <c r="G23" s="15" t="s">
        <v>26</v>
      </c>
      <c r="H23" s="18">
        <f t="shared" si="1"/>
        <v>29</v>
      </c>
      <c r="I23" s="17">
        <f t="shared" si="2"/>
        <v>73</v>
      </c>
    </row>
    <row r="24" spans="1:9" ht="15.75" customHeight="1">
      <c r="A24" s="14">
        <v>15</v>
      </c>
      <c r="B24" s="15" t="s">
        <v>27</v>
      </c>
      <c r="C24" s="19">
        <v>23</v>
      </c>
      <c r="D24" s="17">
        <f t="shared" si="0"/>
        <v>58</v>
      </c>
      <c r="F24" s="14">
        <v>15</v>
      </c>
      <c r="G24" s="15" t="s">
        <v>27</v>
      </c>
      <c r="H24" s="18">
        <f t="shared" si="1"/>
        <v>23</v>
      </c>
      <c r="I24" s="17">
        <f t="shared" si="2"/>
        <v>58</v>
      </c>
    </row>
    <row r="25" spans="1:9" ht="15.75" customHeight="1">
      <c r="A25" s="14">
        <v>16</v>
      </c>
      <c r="B25" s="15" t="s">
        <v>28</v>
      </c>
      <c r="C25" s="19">
        <v>32</v>
      </c>
      <c r="D25" s="17">
        <f t="shared" si="0"/>
        <v>80</v>
      </c>
      <c r="F25" s="14">
        <v>16</v>
      </c>
      <c r="G25" s="15" t="s">
        <v>28</v>
      </c>
      <c r="H25" s="18">
        <f t="shared" si="1"/>
        <v>32</v>
      </c>
      <c r="I25" s="17">
        <f t="shared" si="2"/>
        <v>80</v>
      </c>
    </row>
    <row r="26" spans="1:9" ht="15.75" customHeight="1">
      <c r="A26" s="14">
        <v>17</v>
      </c>
      <c r="B26" s="15" t="s">
        <v>29</v>
      </c>
      <c r="C26" s="19">
        <v>12</v>
      </c>
      <c r="D26" s="17">
        <f t="shared" si="0"/>
        <v>30</v>
      </c>
      <c r="F26" s="14">
        <v>17</v>
      </c>
      <c r="G26" s="15" t="s">
        <v>29</v>
      </c>
      <c r="H26" s="18">
        <f t="shared" si="1"/>
        <v>12</v>
      </c>
      <c r="I26" s="17">
        <f t="shared" si="2"/>
        <v>30</v>
      </c>
    </row>
    <row r="27" spans="1:9" ht="15.75" customHeight="1">
      <c r="A27" s="14">
        <v>18</v>
      </c>
      <c r="B27" s="15" t="s">
        <v>30</v>
      </c>
      <c r="C27" s="16">
        <v>39</v>
      </c>
      <c r="D27" s="17">
        <f t="shared" si="0"/>
        <v>98</v>
      </c>
      <c r="F27" s="14">
        <v>18</v>
      </c>
      <c r="G27" s="15" t="s">
        <v>30</v>
      </c>
      <c r="H27" s="18">
        <f t="shared" si="1"/>
        <v>39</v>
      </c>
      <c r="I27" s="17">
        <f t="shared" si="2"/>
        <v>98</v>
      </c>
    </row>
    <row r="28" spans="1:9" ht="15.75" customHeight="1">
      <c r="A28" s="14">
        <v>19</v>
      </c>
      <c r="B28" s="15" t="s">
        <v>31</v>
      </c>
      <c r="C28" s="16">
        <v>26</v>
      </c>
      <c r="D28" s="17">
        <f t="shared" si="0"/>
        <v>65</v>
      </c>
      <c r="F28" s="14">
        <v>19</v>
      </c>
      <c r="G28" s="15" t="s">
        <v>31</v>
      </c>
      <c r="H28" s="18">
        <f t="shared" si="1"/>
        <v>26</v>
      </c>
      <c r="I28" s="17">
        <f t="shared" si="2"/>
        <v>65</v>
      </c>
    </row>
    <row r="29" spans="1:9" ht="15.75" customHeight="1">
      <c r="A29" s="14">
        <v>20</v>
      </c>
      <c r="B29" s="15" t="s">
        <v>32</v>
      </c>
      <c r="C29" s="16">
        <v>37</v>
      </c>
      <c r="D29" s="17">
        <f t="shared" si="0"/>
        <v>93</v>
      </c>
      <c r="F29" s="14">
        <v>20</v>
      </c>
      <c r="G29" s="15" t="s">
        <v>32</v>
      </c>
      <c r="H29" s="18">
        <f t="shared" si="1"/>
        <v>37</v>
      </c>
      <c r="I29" s="17">
        <f t="shared" si="2"/>
        <v>93</v>
      </c>
    </row>
    <row r="30" spans="1:9" ht="15.75" customHeight="1">
      <c r="A30" s="14">
        <v>21</v>
      </c>
      <c r="B30" s="15" t="s">
        <v>33</v>
      </c>
      <c r="C30" s="16">
        <v>8</v>
      </c>
      <c r="D30" s="17">
        <f t="shared" si="0"/>
        <v>20</v>
      </c>
      <c r="F30" s="14">
        <v>21</v>
      </c>
      <c r="G30" s="15" t="s">
        <v>33</v>
      </c>
      <c r="H30" s="18">
        <f t="shared" si="1"/>
        <v>8</v>
      </c>
      <c r="I30" s="17">
        <f t="shared" si="2"/>
        <v>20</v>
      </c>
    </row>
    <row r="31" spans="1:9" ht="15.75" customHeight="1">
      <c r="A31" s="14">
        <v>22</v>
      </c>
      <c r="B31" s="15" t="s">
        <v>34</v>
      </c>
      <c r="C31" s="16">
        <v>23</v>
      </c>
      <c r="D31" s="17">
        <f t="shared" si="0"/>
        <v>58</v>
      </c>
      <c r="F31" s="14">
        <v>22</v>
      </c>
      <c r="G31" s="15" t="s">
        <v>34</v>
      </c>
      <c r="H31" s="18">
        <f t="shared" si="1"/>
        <v>23</v>
      </c>
      <c r="I31" s="17">
        <f t="shared" si="2"/>
        <v>58</v>
      </c>
    </row>
    <row r="32" spans="1:9" ht="15.75" customHeight="1">
      <c r="A32" s="14">
        <v>23</v>
      </c>
      <c r="B32" s="15" t="s">
        <v>35</v>
      </c>
      <c r="C32" s="16">
        <v>22</v>
      </c>
      <c r="D32" s="17">
        <f t="shared" si="0"/>
        <v>55</v>
      </c>
      <c r="F32" s="14">
        <v>23</v>
      </c>
      <c r="G32" s="15" t="s">
        <v>35</v>
      </c>
      <c r="H32" s="18">
        <f t="shared" si="1"/>
        <v>22</v>
      </c>
      <c r="I32" s="17">
        <f t="shared" si="2"/>
        <v>55</v>
      </c>
    </row>
    <row r="33" spans="1:9" ht="15.75" customHeight="1">
      <c r="A33" s="14">
        <v>24</v>
      </c>
      <c r="B33" s="15" t="s">
        <v>36</v>
      </c>
      <c r="C33" s="16">
        <v>37</v>
      </c>
      <c r="D33" s="17">
        <f t="shared" si="0"/>
        <v>93</v>
      </c>
      <c r="F33" s="14">
        <v>24</v>
      </c>
      <c r="G33" s="15" t="s">
        <v>36</v>
      </c>
      <c r="H33" s="18">
        <f t="shared" si="1"/>
        <v>37</v>
      </c>
      <c r="I33" s="17">
        <f t="shared" si="2"/>
        <v>93</v>
      </c>
    </row>
    <row r="34" spans="1:9" ht="15.75" customHeight="1">
      <c r="A34" s="14">
        <v>25</v>
      </c>
      <c r="B34" s="15" t="s">
        <v>37</v>
      </c>
      <c r="C34" s="16">
        <v>13</v>
      </c>
      <c r="D34" s="17">
        <f t="shared" si="0"/>
        <v>33</v>
      </c>
      <c r="F34" s="14">
        <v>25</v>
      </c>
      <c r="G34" s="15" t="s">
        <v>37</v>
      </c>
      <c r="H34" s="18">
        <f t="shared" si="1"/>
        <v>13</v>
      </c>
      <c r="I34" s="17">
        <f t="shared" si="2"/>
        <v>33</v>
      </c>
    </row>
    <row r="35" spans="1:9" ht="15.75" customHeight="1">
      <c r="A35" s="14">
        <v>26</v>
      </c>
      <c r="B35" s="15" t="s">
        <v>38</v>
      </c>
      <c r="C35" s="16">
        <v>6</v>
      </c>
      <c r="D35" s="17">
        <f t="shared" si="0"/>
        <v>15</v>
      </c>
      <c r="F35" s="14">
        <v>26</v>
      </c>
      <c r="G35" s="15" t="s">
        <v>38</v>
      </c>
      <c r="H35" s="18">
        <f t="shared" si="1"/>
        <v>6</v>
      </c>
      <c r="I35" s="17">
        <f t="shared" si="2"/>
        <v>15</v>
      </c>
    </row>
    <row r="36" spans="1:9" ht="15.75" customHeight="1">
      <c r="A36" s="14">
        <v>27</v>
      </c>
      <c r="B36" s="15" t="s">
        <v>39</v>
      </c>
      <c r="C36" s="16">
        <v>4</v>
      </c>
      <c r="D36" s="17">
        <f t="shared" si="0"/>
        <v>10</v>
      </c>
      <c r="F36" s="14">
        <v>27</v>
      </c>
      <c r="G36" s="15" t="s">
        <v>39</v>
      </c>
      <c r="H36" s="18">
        <f t="shared" si="1"/>
        <v>4</v>
      </c>
      <c r="I36" s="17">
        <f t="shared" si="2"/>
        <v>10</v>
      </c>
    </row>
    <row r="37" spans="1:9" ht="15.75" customHeight="1">
      <c r="A37" s="14">
        <v>28</v>
      </c>
      <c r="B37" s="15" t="s">
        <v>40</v>
      </c>
      <c r="C37" s="19">
        <v>14</v>
      </c>
      <c r="D37" s="17">
        <f t="shared" si="0"/>
        <v>35</v>
      </c>
      <c r="F37" s="14">
        <v>28</v>
      </c>
      <c r="G37" s="15" t="s">
        <v>40</v>
      </c>
      <c r="H37" s="18">
        <f t="shared" si="1"/>
        <v>14</v>
      </c>
      <c r="I37" s="17">
        <f t="shared" si="2"/>
        <v>35</v>
      </c>
    </row>
    <row r="38" spans="1:9" ht="15.75" customHeight="1">
      <c r="A38" s="14">
        <v>29</v>
      </c>
      <c r="B38" s="15" t="s">
        <v>41</v>
      </c>
      <c r="C38" s="16">
        <v>2</v>
      </c>
      <c r="D38" s="17">
        <f t="shared" si="0"/>
        <v>5</v>
      </c>
      <c r="F38" s="14">
        <v>29</v>
      </c>
      <c r="G38" s="15" t="s">
        <v>41</v>
      </c>
      <c r="H38" s="18">
        <f t="shared" si="1"/>
        <v>2</v>
      </c>
      <c r="I38" s="17">
        <f t="shared" si="2"/>
        <v>5</v>
      </c>
    </row>
    <row r="39" spans="1:9" ht="15.75" customHeight="1">
      <c r="A39" s="14">
        <v>30</v>
      </c>
      <c r="B39" s="15" t="s">
        <v>42</v>
      </c>
      <c r="C39" s="16">
        <v>5</v>
      </c>
      <c r="D39" s="17">
        <f t="shared" si="0"/>
        <v>13</v>
      </c>
      <c r="F39" s="14">
        <v>30</v>
      </c>
      <c r="G39" s="15" t="s">
        <v>42</v>
      </c>
      <c r="H39" s="18">
        <f t="shared" si="1"/>
        <v>5</v>
      </c>
      <c r="I39" s="17">
        <f t="shared" si="2"/>
        <v>13</v>
      </c>
    </row>
    <row r="40" spans="1:9" ht="15.75" customHeight="1">
      <c r="A40" s="14">
        <v>31</v>
      </c>
      <c r="B40" s="15" t="s">
        <v>43</v>
      </c>
      <c r="C40" s="16">
        <v>27</v>
      </c>
      <c r="D40" s="17">
        <f t="shared" si="0"/>
        <v>68</v>
      </c>
      <c r="F40" s="14">
        <v>31</v>
      </c>
      <c r="G40" s="15" t="s">
        <v>43</v>
      </c>
      <c r="H40" s="18">
        <f t="shared" si="1"/>
        <v>27</v>
      </c>
      <c r="I40" s="17">
        <f t="shared" si="2"/>
        <v>68</v>
      </c>
    </row>
    <row r="41" spans="1:9" ht="15.75" customHeight="1">
      <c r="A41" s="14">
        <v>32</v>
      </c>
      <c r="B41" s="15" t="s">
        <v>44</v>
      </c>
      <c r="C41" s="16" t="s">
        <v>73</v>
      </c>
      <c r="D41" s="17" t="str">
        <f t="shared" si="0"/>
        <v>AB</v>
      </c>
      <c r="F41" s="14">
        <v>32</v>
      </c>
      <c r="G41" s="15" t="s">
        <v>44</v>
      </c>
      <c r="H41" s="18" t="str">
        <f t="shared" si="1"/>
        <v>AB</v>
      </c>
      <c r="I41" s="17" t="str">
        <f t="shared" si="2"/>
        <v>AB</v>
      </c>
    </row>
    <row r="42" spans="1:9" ht="15.75" customHeight="1">
      <c r="A42" s="14">
        <v>33</v>
      </c>
      <c r="B42" s="15" t="s">
        <v>45</v>
      </c>
      <c r="C42" s="19">
        <v>16</v>
      </c>
      <c r="D42" s="17">
        <f t="shared" si="0"/>
        <v>40</v>
      </c>
      <c r="F42" s="14">
        <v>33</v>
      </c>
      <c r="G42" s="15" t="s">
        <v>45</v>
      </c>
      <c r="H42" s="18">
        <f t="shared" si="1"/>
        <v>16</v>
      </c>
      <c r="I42" s="17">
        <f t="shared" si="2"/>
        <v>40</v>
      </c>
    </row>
    <row r="43" spans="1:9" ht="15.75" customHeight="1">
      <c r="A43" s="20">
        <v>34</v>
      </c>
      <c r="B43" s="21" t="s">
        <v>46</v>
      </c>
      <c r="C43" s="22">
        <v>25</v>
      </c>
      <c r="D43" s="23">
        <f t="shared" si="0"/>
        <v>63</v>
      </c>
      <c r="F43" s="20">
        <v>34</v>
      </c>
      <c r="G43" s="21" t="s">
        <v>46</v>
      </c>
      <c r="H43" s="24">
        <f t="shared" si="1"/>
        <v>25</v>
      </c>
      <c r="I43" s="23">
        <f t="shared" si="2"/>
        <v>63</v>
      </c>
    </row>
    <row r="44" spans="1:9" ht="15.75" customHeight="1">
      <c r="A44" s="14">
        <v>35</v>
      </c>
      <c r="B44" s="15" t="s">
        <v>47</v>
      </c>
      <c r="C44" s="16">
        <v>16</v>
      </c>
      <c r="D44" s="17">
        <f t="shared" si="0"/>
        <v>40</v>
      </c>
      <c r="E44" s="25"/>
      <c r="F44" s="14">
        <v>35</v>
      </c>
      <c r="G44" s="15" t="s">
        <v>47</v>
      </c>
      <c r="H44" s="18">
        <f t="shared" si="1"/>
        <v>16</v>
      </c>
      <c r="I44" s="17">
        <f t="shared" si="2"/>
        <v>40</v>
      </c>
    </row>
    <row r="45" spans="1:9" ht="15.75" customHeight="1">
      <c r="A45" s="14">
        <v>36</v>
      </c>
      <c r="B45" s="15" t="s">
        <v>48</v>
      </c>
      <c r="C45" s="16">
        <v>23</v>
      </c>
      <c r="D45" s="17">
        <f t="shared" si="0"/>
        <v>58</v>
      </c>
      <c r="E45" s="25"/>
      <c r="F45" s="14">
        <v>36</v>
      </c>
      <c r="G45" s="15" t="s">
        <v>48</v>
      </c>
      <c r="H45" s="18">
        <f t="shared" si="1"/>
        <v>23</v>
      </c>
      <c r="I45" s="17">
        <f t="shared" si="2"/>
        <v>58</v>
      </c>
    </row>
    <row r="46" spans="1:9" ht="15.75" customHeight="1">
      <c r="A46" s="14">
        <v>37</v>
      </c>
      <c r="B46" s="15" t="s">
        <v>49</v>
      </c>
      <c r="C46" s="16">
        <v>26</v>
      </c>
      <c r="D46" s="17">
        <f t="shared" si="0"/>
        <v>65</v>
      </c>
      <c r="E46" s="25"/>
      <c r="F46" s="14">
        <v>37</v>
      </c>
      <c r="G46" s="15" t="s">
        <v>49</v>
      </c>
      <c r="H46" s="18">
        <f t="shared" si="1"/>
        <v>26</v>
      </c>
      <c r="I46" s="17">
        <f t="shared" si="2"/>
        <v>65</v>
      </c>
    </row>
    <row r="47" spans="1:9" ht="15.75" customHeight="1">
      <c r="A47" s="14">
        <v>38</v>
      </c>
      <c r="B47" s="15" t="s">
        <v>50</v>
      </c>
      <c r="C47" s="16">
        <v>11</v>
      </c>
      <c r="D47" s="17">
        <f t="shared" si="0"/>
        <v>28</v>
      </c>
      <c r="E47" s="25"/>
      <c r="F47" s="14">
        <v>38</v>
      </c>
      <c r="G47" s="15" t="s">
        <v>50</v>
      </c>
      <c r="H47" s="24">
        <f t="shared" si="1"/>
        <v>11</v>
      </c>
      <c r="I47" s="17">
        <f t="shared" si="2"/>
        <v>28</v>
      </c>
    </row>
    <row r="48" spans="1:9" ht="15.75" customHeight="1">
      <c r="A48" s="14">
        <v>39</v>
      </c>
      <c r="B48" s="15" t="s">
        <v>51</v>
      </c>
      <c r="C48" s="16">
        <v>24</v>
      </c>
      <c r="D48" s="17">
        <f t="shared" si="0"/>
        <v>60</v>
      </c>
      <c r="E48" s="25"/>
      <c r="F48" s="14">
        <v>39</v>
      </c>
      <c r="G48" s="15" t="s">
        <v>51</v>
      </c>
      <c r="H48" s="18">
        <f t="shared" si="1"/>
        <v>24</v>
      </c>
      <c r="I48" s="17">
        <f t="shared" si="2"/>
        <v>60</v>
      </c>
    </row>
    <row r="49" spans="1:9" ht="15.75" customHeight="1">
      <c r="A49" s="14">
        <v>40</v>
      </c>
      <c r="B49" s="15" t="s">
        <v>52</v>
      </c>
      <c r="C49" s="16">
        <v>17</v>
      </c>
      <c r="D49" s="17">
        <f t="shared" si="0"/>
        <v>43</v>
      </c>
      <c r="E49" s="25"/>
      <c r="F49" s="14">
        <v>40</v>
      </c>
      <c r="G49" s="15" t="s">
        <v>52</v>
      </c>
      <c r="H49" s="18">
        <f t="shared" si="1"/>
        <v>17</v>
      </c>
      <c r="I49" s="23">
        <f t="shared" si="2"/>
        <v>43</v>
      </c>
    </row>
    <row r="50" spans="1:9" ht="15.75" customHeight="1">
      <c r="A50" s="14">
        <v>41</v>
      </c>
      <c r="B50" s="15" t="s">
        <v>53</v>
      </c>
      <c r="C50" s="16">
        <v>20</v>
      </c>
      <c r="D50" s="23">
        <f t="shared" si="0"/>
        <v>50</v>
      </c>
      <c r="E50" s="25"/>
      <c r="F50" s="14">
        <v>41</v>
      </c>
      <c r="G50" s="15" t="s">
        <v>53</v>
      </c>
      <c r="H50" s="18">
        <f t="shared" si="1"/>
        <v>20</v>
      </c>
      <c r="I50" s="17">
        <f t="shared" si="2"/>
        <v>50</v>
      </c>
    </row>
    <row r="51" spans="1:9" ht="15.75" customHeight="1">
      <c r="A51" s="26">
        <v>42</v>
      </c>
      <c r="B51" s="27" t="s">
        <v>54</v>
      </c>
      <c r="C51" s="19">
        <v>12</v>
      </c>
      <c r="D51" s="17">
        <f t="shared" si="0"/>
        <v>30</v>
      </c>
      <c r="E51" s="25"/>
      <c r="F51" s="14">
        <v>42</v>
      </c>
      <c r="G51" s="27" t="s">
        <v>54</v>
      </c>
      <c r="H51" s="24">
        <f t="shared" si="1"/>
        <v>12</v>
      </c>
      <c r="I51" s="17">
        <f t="shared" si="2"/>
        <v>30</v>
      </c>
    </row>
    <row r="52" spans="1:9" ht="15.75" customHeight="1">
      <c r="A52" s="26"/>
      <c r="B52" s="28"/>
      <c r="C52" s="27"/>
      <c r="D52" s="17"/>
      <c r="E52" s="25"/>
      <c r="F52" s="14"/>
      <c r="G52" s="28"/>
      <c r="H52" s="18"/>
      <c r="I52" s="17"/>
    </row>
    <row r="53" spans="1:9" ht="15.75" customHeight="1">
      <c r="A53" s="26"/>
      <c r="B53" s="27"/>
      <c r="C53" s="27"/>
      <c r="D53" s="17"/>
      <c r="E53" s="25"/>
      <c r="F53" s="14"/>
      <c r="G53" s="27"/>
      <c r="H53" s="18"/>
      <c r="I53" s="17"/>
    </row>
    <row r="54" spans="1:9" ht="15.75" customHeight="1">
      <c r="A54" s="26"/>
      <c r="B54" s="27"/>
      <c r="C54" s="27"/>
      <c r="D54" s="17"/>
      <c r="E54" s="25"/>
      <c r="F54" s="14"/>
      <c r="G54" s="27"/>
      <c r="H54" s="18"/>
      <c r="I54" s="17"/>
    </row>
    <row r="55" spans="1:9" ht="15.75" customHeight="1">
      <c r="A55" s="26"/>
      <c r="B55" s="27"/>
      <c r="C55" s="27"/>
      <c r="D55" s="17"/>
      <c r="E55" s="25"/>
      <c r="F55" s="14"/>
      <c r="G55" s="27"/>
      <c r="H55" s="24"/>
      <c r="I55" s="23"/>
    </row>
    <row r="56" spans="1:9" ht="15.75" customHeight="1">
      <c r="A56" s="26"/>
      <c r="B56" s="27"/>
      <c r="C56" s="27"/>
      <c r="D56" s="17"/>
      <c r="E56" s="25"/>
      <c r="F56" s="14"/>
      <c r="G56" s="27"/>
      <c r="H56" s="18"/>
      <c r="I56" s="17"/>
    </row>
    <row r="57" spans="1:9" ht="15.75" customHeight="1">
      <c r="A57" s="27"/>
      <c r="B57" s="27"/>
      <c r="C57" s="27"/>
      <c r="D57" s="17"/>
      <c r="E57" s="25"/>
      <c r="F57" s="27"/>
      <c r="G57" s="27"/>
      <c r="H57" s="18"/>
      <c r="I57" s="17"/>
    </row>
    <row r="58" spans="1:9" ht="15.75" customHeight="1">
      <c r="A58" s="8"/>
      <c r="B58" s="8"/>
      <c r="C58" s="8"/>
      <c r="D58" s="30" t="s">
        <v>55</v>
      </c>
      <c r="F58" s="8"/>
      <c r="G58" s="8"/>
      <c r="H58" s="8"/>
      <c r="I58" s="30" t="s">
        <v>55</v>
      </c>
    </row>
    <row r="59" spans="1:9" ht="15.75" customHeight="1">
      <c r="A59" s="78" t="s">
        <v>56</v>
      </c>
      <c r="B59" s="79"/>
      <c r="C59" s="8"/>
      <c r="D59" s="8"/>
      <c r="F59" s="78" t="s">
        <v>56</v>
      </c>
      <c r="G59" s="79"/>
      <c r="H59" s="8"/>
      <c r="I59" s="8"/>
    </row>
    <row r="60" spans="1:9" ht="15.75" customHeight="1">
      <c r="A60" s="31" t="s">
        <v>57</v>
      </c>
      <c r="B60" s="32">
        <f>COUNTIF(D10:D57,"&gt;=90")</f>
        <v>3</v>
      </c>
      <c r="C60" s="30" t="s">
        <v>58</v>
      </c>
      <c r="D60" s="33">
        <f>COUNT(H10:H57)</f>
        <v>41</v>
      </c>
      <c r="F60" s="31" t="s">
        <v>57</v>
      </c>
      <c r="G60" s="32">
        <f>COUNTIF(I10:I57,"&gt;=90")</f>
        <v>3</v>
      </c>
      <c r="H60" s="30" t="s">
        <v>58</v>
      </c>
      <c r="I60" s="33">
        <f>COUNT(H10:H57)</f>
        <v>41</v>
      </c>
    </row>
    <row r="61" spans="1:9" ht="15.75" customHeight="1">
      <c r="A61" s="31" t="s">
        <v>59</v>
      </c>
      <c r="B61" s="32">
        <f>COUNTIF(D10:D57,"&gt;=75")-B60</f>
        <v>3</v>
      </c>
      <c r="C61" s="30" t="s">
        <v>60</v>
      </c>
      <c r="D61" s="34">
        <f>COUNTIF(D10:D57,"=AB")</f>
        <v>1</v>
      </c>
      <c r="F61" s="31" t="s">
        <v>59</v>
      </c>
      <c r="G61" s="32">
        <f>COUNTIF(I10:I57,"&gt;=75")-G60</f>
        <v>3</v>
      </c>
      <c r="H61" s="30" t="s">
        <v>60</v>
      </c>
      <c r="I61" s="34">
        <f>COUNTIF(I10:I57,"=AB")</f>
        <v>1</v>
      </c>
    </row>
    <row r="62" spans="1:9" ht="15.75" customHeight="1">
      <c r="A62" s="31" t="s">
        <v>61</v>
      </c>
      <c r="B62" s="32">
        <f>COUNTIF(D10:D57,"&gt;=60")-B61-B60</f>
        <v>11</v>
      </c>
      <c r="C62" s="30" t="s">
        <v>62</v>
      </c>
      <c r="D62" s="35">
        <f>COUNTIF(D10:D57,"&gt;=33")</f>
        <v>28</v>
      </c>
      <c r="F62" s="31" t="s">
        <v>61</v>
      </c>
      <c r="G62" s="32">
        <f>COUNTIF(I10:I57,"&gt;=60")-G61-G60</f>
        <v>11</v>
      </c>
      <c r="H62" s="30" t="s">
        <v>62</v>
      </c>
      <c r="I62" s="35">
        <f>COUNTIF(I10:I57,"&gt;=33")</f>
        <v>28</v>
      </c>
    </row>
    <row r="63" spans="1:9" ht="15.75" customHeight="1">
      <c r="A63" s="31" t="s">
        <v>63</v>
      </c>
      <c r="B63" s="32">
        <f>COUNTIF(D10:D57,"&gt;=45")-B62-B61-B60</f>
        <v>5</v>
      </c>
      <c r="C63" s="30" t="s">
        <v>64</v>
      </c>
      <c r="D63" s="34">
        <f>(D62/D60)*100</f>
        <v>68.292682926829272</v>
      </c>
      <c r="F63" s="31" t="s">
        <v>63</v>
      </c>
      <c r="G63" s="32">
        <f>COUNTIF(I10:I57,"&gt;=45")-G62-G61-G60</f>
        <v>5</v>
      </c>
      <c r="H63" s="30" t="s">
        <v>64</v>
      </c>
      <c r="I63" s="34">
        <f>(I62/I60)*100</f>
        <v>68.292682926829272</v>
      </c>
    </row>
    <row r="64" spans="1:9" ht="15.75" customHeight="1">
      <c r="A64" s="31" t="s">
        <v>65</v>
      </c>
      <c r="B64" s="32">
        <f>COUNTIF(D10:D57,"&gt;=33")-B63-B62-B61-B60</f>
        <v>6</v>
      </c>
      <c r="C64" s="8"/>
      <c r="D64" s="8"/>
      <c r="F64" s="31" t="s">
        <v>65</v>
      </c>
      <c r="G64" s="32">
        <f>COUNTIF(I10:I57,"&gt;=33")-G63-G62-G61-G60</f>
        <v>6</v>
      </c>
      <c r="H64" s="8"/>
      <c r="I64" s="8"/>
    </row>
    <row r="65" spans="1:9" ht="15.75" customHeight="1">
      <c r="A65" s="31" t="s">
        <v>66</v>
      </c>
      <c r="B65" s="32">
        <f>COUNTIF(D10:D57,"&lt;33")-COUNTIF(D10:D57,"=0.0")</f>
        <v>13</v>
      </c>
      <c r="C65" s="8"/>
      <c r="D65" s="8"/>
      <c r="F65" s="31" t="s">
        <v>66</v>
      </c>
      <c r="G65" s="32">
        <f>COUNTIF(I10:I57,"&lt;33")-COUNTIF(I10:I57,"=0.0")</f>
        <v>13</v>
      </c>
      <c r="H65" s="8"/>
      <c r="I65" s="8"/>
    </row>
    <row r="66" spans="1:9" ht="15.75" customHeight="1">
      <c r="A66" s="8"/>
      <c r="B66" s="8"/>
      <c r="C66" s="8"/>
      <c r="D66" s="8"/>
      <c r="F66" s="8"/>
      <c r="G66" s="8"/>
      <c r="H66" s="8"/>
      <c r="I66" s="8"/>
    </row>
    <row r="67" spans="1:9" ht="15.75" customHeight="1">
      <c r="A67" s="30" t="s">
        <v>67</v>
      </c>
      <c r="B67" s="8"/>
      <c r="C67" s="8"/>
      <c r="D67" s="36"/>
      <c r="F67" s="30" t="s">
        <v>67</v>
      </c>
      <c r="G67" s="8"/>
      <c r="H67" s="8"/>
      <c r="I67" s="36"/>
    </row>
    <row r="68" spans="1:9" ht="15.75" customHeight="1">
      <c r="A68" s="30" t="s">
        <v>68</v>
      </c>
      <c r="B68" s="8"/>
      <c r="C68" s="8"/>
      <c r="D68" s="30" t="s">
        <v>69</v>
      </c>
      <c r="F68" s="30" t="s">
        <v>68</v>
      </c>
      <c r="G68" s="8"/>
      <c r="H68" s="8"/>
      <c r="I68" s="30" t="s">
        <v>69</v>
      </c>
    </row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B9"/>
    <mergeCell ref="A59:B59"/>
    <mergeCell ref="F59:G59"/>
    <mergeCell ref="A1:D1"/>
    <mergeCell ref="F1:I1"/>
    <mergeCell ref="A2:D2"/>
    <mergeCell ref="F2:I2"/>
    <mergeCell ref="A8:A9"/>
    <mergeCell ref="F8:F9"/>
    <mergeCell ref="G8:G9"/>
  </mergeCells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I1000"/>
  <sheetViews>
    <sheetView workbookViewId="0"/>
  </sheetViews>
  <sheetFormatPr defaultColWidth="12.5703125" defaultRowHeight="15" customHeight="1"/>
  <cols>
    <col min="1" max="1" width="7.7109375" customWidth="1"/>
    <col min="2" max="2" width="27.140625" customWidth="1"/>
    <col min="3" max="3" width="7.140625" customWidth="1"/>
    <col min="4" max="4" width="18.7109375" customWidth="1"/>
    <col min="5" max="5" width="3.5703125" customWidth="1"/>
    <col min="6" max="6" width="8.140625" customWidth="1"/>
    <col min="7" max="7" width="26.42578125" customWidth="1"/>
    <col min="8" max="8" width="8.7109375" customWidth="1"/>
    <col min="9" max="9" width="14.140625" customWidth="1"/>
  </cols>
  <sheetData>
    <row r="1" spans="1:9" ht="25.5" customHeight="1">
      <c r="A1" s="80" t="s">
        <v>0</v>
      </c>
      <c r="B1" s="81"/>
      <c r="C1" s="81"/>
      <c r="D1" s="81"/>
      <c r="F1" s="80" t="s">
        <v>0</v>
      </c>
      <c r="G1" s="81"/>
      <c r="H1" s="81"/>
      <c r="I1" s="81"/>
    </row>
    <row r="2" spans="1:9" ht="15.75" customHeight="1">
      <c r="A2" s="82" t="s">
        <v>1</v>
      </c>
      <c r="B2" s="81"/>
      <c r="C2" s="81"/>
      <c r="D2" s="81"/>
      <c r="F2" s="82" t="s">
        <v>1</v>
      </c>
      <c r="G2" s="81"/>
      <c r="H2" s="81"/>
      <c r="I2" s="81"/>
    </row>
    <row r="3" spans="1:9" ht="15.75" customHeight="1">
      <c r="B3" s="1" t="s">
        <v>2</v>
      </c>
      <c r="D3" s="2" t="s">
        <v>70</v>
      </c>
      <c r="G3" s="1" t="s">
        <v>2</v>
      </c>
      <c r="I3" s="2" t="s">
        <v>70</v>
      </c>
    </row>
    <row r="4" spans="1:9" ht="15.75" customHeight="1">
      <c r="A4" s="3" t="s">
        <v>4</v>
      </c>
      <c r="B4" s="4"/>
      <c r="C4" s="4"/>
      <c r="F4" s="3" t="s">
        <v>4</v>
      </c>
      <c r="G4" s="4"/>
      <c r="H4" s="4"/>
    </row>
    <row r="5" spans="1:9" ht="15.75" customHeight="1">
      <c r="A5" s="3" t="s">
        <v>74</v>
      </c>
      <c r="B5" s="3" t="s">
        <v>75</v>
      </c>
      <c r="C5" s="4"/>
      <c r="F5" s="3" t="s">
        <v>74</v>
      </c>
      <c r="G5" s="3"/>
      <c r="H5" s="4"/>
    </row>
    <row r="6" spans="1:9" ht="15.75" customHeight="1">
      <c r="A6" s="5" t="s">
        <v>7</v>
      </c>
      <c r="B6" s="7"/>
      <c r="C6" s="7"/>
      <c r="D6" s="8"/>
      <c r="F6" s="5" t="s">
        <v>7</v>
      </c>
      <c r="G6" s="7"/>
      <c r="H6" s="7"/>
      <c r="I6" s="8"/>
    </row>
    <row r="7" spans="1:9" ht="15.75" customHeight="1">
      <c r="A7" s="5" t="s">
        <v>76</v>
      </c>
      <c r="B7" s="7"/>
      <c r="C7" s="7"/>
      <c r="D7" s="4"/>
      <c r="E7" s="4"/>
      <c r="F7" s="5" t="s">
        <v>76</v>
      </c>
      <c r="G7" s="10"/>
      <c r="H7" s="10"/>
    </row>
    <row r="8" spans="1:9" ht="15.75" customHeight="1">
      <c r="A8" s="83" t="s">
        <v>9</v>
      </c>
      <c r="B8" s="76" t="s">
        <v>10</v>
      </c>
      <c r="C8" s="11" t="s">
        <v>11</v>
      </c>
      <c r="D8" s="11" t="s">
        <v>12</v>
      </c>
      <c r="F8" s="83" t="s">
        <v>9</v>
      </c>
      <c r="G8" s="76" t="s">
        <v>10</v>
      </c>
      <c r="H8" s="11" t="s">
        <v>11</v>
      </c>
      <c r="I8" s="11" t="s">
        <v>12</v>
      </c>
    </row>
    <row r="9" spans="1:9" ht="15.75" customHeight="1">
      <c r="A9" s="84"/>
      <c r="B9" s="77"/>
      <c r="C9" s="12">
        <v>40</v>
      </c>
      <c r="D9" s="13"/>
      <c r="F9" s="84"/>
      <c r="G9" s="77"/>
      <c r="H9" s="12">
        <v>40</v>
      </c>
      <c r="I9" s="13"/>
    </row>
    <row r="10" spans="1:9" ht="15.75" customHeight="1">
      <c r="A10" s="14">
        <v>1</v>
      </c>
      <c r="B10" s="15" t="s">
        <v>13</v>
      </c>
      <c r="C10" s="16">
        <v>15</v>
      </c>
      <c r="D10" s="17">
        <f t="shared" ref="D10:D51" si="0">IF(UPPER(C10)="AB","AB",ROUND(((C10/C$9)*100),0))</f>
        <v>38</v>
      </c>
      <c r="F10" s="14">
        <v>1</v>
      </c>
      <c r="G10" s="15" t="s">
        <v>13</v>
      </c>
      <c r="H10" s="18">
        <f t="shared" ref="H10:H51" si="1">C10</f>
        <v>15</v>
      </c>
      <c r="I10" s="17">
        <f t="shared" ref="I10:I51" si="2">IF(UPPER(H10)="AB","AB",ROUND(((H10/H$9)*100),0))</f>
        <v>38</v>
      </c>
    </row>
    <row r="11" spans="1:9" ht="15.75" customHeight="1">
      <c r="A11" s="14">
        <v>2</v>
      </c>
      <c r="B11" s="15" t="s">
        <v>14</v>
      </c>
      <c r="C11" s="16">
        <v>10</v>
      </c>
      <c r="D11" s="17">
        <f t="shared" si="0"/>
        <v>25</v>
      </c>
      <c r="F11" s="14">
        <v>2</v>
      </c>
      <c r="G11" s="15" t="s">
        <v>14</v>
      </c>
      <c r="H11" s="18">
        <f t="shared" si="1"/>
        <v>10</v>
      </c>
      <c r="I11" s="17">
        <f t="shared" si="2"/>
        <v>25</v>
      </c>
    </row>
    <row r="12" spans="1:9" ht="15.75" customHeight="1">
      <c r="A12" s="14">
        <v>3</v>
      </c>
      <c r="B12" s="15" t="s">
        <v>15</v>
      </c>
      <c r="C12" s="16">
        <v>28</v>
      </c>
      <c r="D12" s="17">
        <f t="shared" si="0"/>
        <v>70</v>
      </c>
      <c r="F12" s="14">
        <v>3</v>
      </c>
      <c r="G12" s="15" t="s">
        <v>15</v>
      </c>
      <c r="H12" s="18">
        <f t="shared" si="1"/>
        <v>28</v>
      </c>
      <c r="I12" s="17">
        <f t="shared" si="2"/>
        <v>70</v>
      </c>
    </row>
    <row r="13" spans="1:9" ht="15.75" customHeight="1">
      <c r="A13" s="14">
        <v>4</v>
      </c>
      <c r="B13" s="15" t="s">
        <v>16</v>
      </c>
      <c r="C13" s="16">
        <v>29</v>
      </c>
      <c r="D13" s="17">
        <f t="shared" si="0"/>
        <v>73</v>
      </c>
      <c r="F13" s="14">
        <v>4</v>
      </c>
      <c r="G13" s="15" t="s">
        <v>16</v>
      </c>
      <c r="H13" s="18">
        <f t="shared" si="1"/>
        <v>29</v>
      </c>
      <c r="I13" s="17">
        <f t="shared" si="2"/>
        <v>73</v>
      </c>
    </row>
    <row r="14" spans="1:9" ht="15.75" customHeight="1">
      <c r="A14" s="14">
        <v>5</v>
      </c>
      <c r="B14" s="15" t="s">
        <v>17</v>
      </c>
      <c r="C14" s="16">
        <v>20</v>
      </c>
      <c r="D14" s="17">
        <f t="shared" si="0"/>
        <v>50</v>
      </c>
      <c r="F14" s="14">
        <v>5</v>
      </c>
      <c r="G14" s="15" t="s">
        <v>17</v>
      </c>
      <c r="H14" s="18">
        <f t="shared" si="1"/>
        <v>20</v>
      </c>
      <c r="I14" s="17">
        <f t="shared" si="2"/>
        <v>50</v>
      </c>
    </row>
    <row r="15" spans="1:9" ht="15.75" customHeight="1">
      <c r="A15" s="14">
        <v>6</v>
      </c>
      <c r="B15" s="15" t="s">
        <v>18</v>
      </c>
      <c r="C15" s="19">
        <v>30</v>
      </c>
      <c r="D15" s="17">
        <f t="shared" si="0"/>
        <v>75</v>
      </c>
      <c r="F15" s="14">
        <v>6</v>
      </c>
      <c r="G15" s="15" t="s">
        <v>18</v>
      </c>
      <c r="H15" s="18">
        <f t="shared" si="1"/>
        <v>30</v>
      </c>
      <c r="I15" s="17">
        <f t="shared" si="2"/>
        <v>75</v>
      </c>
    </row>
    <row r="16" spans="1:9" ht="15.75" customHeight="1">
      <c r="A16" s="14">
        <v>7</v>
      </c>
      <c r="B16" s="15" t="s">
        <v>19</v>
      </c>
      <c r="C16" s="19">
        <v>30</v>
      </c>
      <c r="D16" s="17">
        <f t="shared" si="0"/>
        <v>75</v>
      </c>
      <c r="F16" s="14">
        <v>7</v>
      </c>
      <c r="G16" s="15" t="s">
        <v>19</v>
      </c>
      <c r="H16" s="18">
        <f t="shared" si="1"/>
        <v>30</v>
      </c>
      <c r="I16" s="17">
        <f t="shared" si="2"/>
        <v>75</v>
      </c>
    </row>
    <row r="17" spans="1:9" ht="15.75" customHeight="1">
      <c r="A17" s="14">
        <v>8</v>
      </c>
      <c r="B17" s="15" t="s">
        <v>20</v>
      </c>
      <c r="C17" s="19">
        <v>5</v>
      </c>
      <c r="D17" s="17">
        <f t="shared" si="0"/>
        <v>13</v>
      </c>
      <c r="F17" s="14">
        <v>8</v>
      </c>
      <c r="G17" s="15" t="s">
        <v>20</v>
      </c>
      <c r="H17" s="18">
        <f t="shared" si="1"/>
        <v>5</v>
      </c>
      <c r="I17" s="17">
        <f t="shared" si="2"/>
        <v>13</v>
      </c>
    </row>
    <row r="18" spans="1:9" ht="15.75" customHeight="1">
      <c r="A18" s="14">
        <v>9</v>
      </c>
      <c r="B18" s="15" t="s">
        <v>21</v>
      </c>
      <c r="C18" s="19">
        <v>10</v>
      </c>
      <c r="D18" s="17">
        <f t="shared" si="0"/>
        <v>25</v>
      </c>
      <c r="F18" s="14">
        <v>9</v>
      </c>
      <c r="G18" s="15" t="s">
        <v>21</v>
      </c>
      <c r="H18" s="18">
        <f t="shared" si="1"/>
        <v>10</v>
      </c>
      <c r="I18" s="17">
        <f t="shared" si="2"/>
        <v>25</v>
      </c>
    </row>
    <row r="19" spans="1:9" ht="15.75" customHeight="1">
      <c r="A19" s="14">
        <v>10</v>
      </c>
      <c r="B19" s="15" t="s">
        <v>22</v>
      </c>
      <c r="C19" s="19">
        <v>3</v>
      </c>
      <c r="D19" s="17">
        <f t="shared" si="0"/>
        <v>8</v>
      </c>
      <c r="F19" s="14">
        <v>10</v>
      </c>
      <c r="G19" s="15" t="s">
        <v>22</v>
      </c>
      <c r="H19" s="18">
        <f t="shared" si="1"/>
        <v>3</v>
      </c>
      <c r="I19" s="17">
        <f t="shared" si="2"/>
        <v>8</v>
      </c>
    </row>
    <row r="20" spans="1:9" ht="15.75" customHeight="1">
      <c r="A20" s="14">
        <v>11</v>
      </c>
      <c r="B20" s="15" t="s">
        <v>23</v>
      </c>
      <c r="C20" s="16">
        <v>9</v>
      </c>
      <c r="D20" s="17">
        <f t="shared" si="0"/>
        <v>23</v>
      </c>
      <c r="F20" s="14">
        <v>11</v>
      </c>
      <c r="G20" s="15" t="s">
        <v>23</v>
      </c>
      <c r="H20" s="18">
        <f t="shared" si="1"/>
        <v>9</v>
      </c>
      <c r="I20" s="17">
        <f t="shared" si="2"/>
        <v>23</v>
      </c>
    </row>
    <row r="21" spans="1:9" ht="15.75" customHeight="1">
      <c r="A21" s="14">
        <v>12</v>
      </c>
      <c r="B21" s="15" t="s">
        <v>24</v>
      </c>
      <c r="C21" s="16">
        <v>14</v>
      </c>
      <c r="D21" s="17">
        <f t="shared" si="0"/>
        <v>35</v>
      </c>
      <c r="F21" s="14">
        <v>12</v>
      </c>
      <c r="G21" s="15" t="s">
        <v>24</v>
      </c>
      <c r="H21" s="18">
        <f t="shared" si="1"/>
        <v>14</v>
      </c>
      <c r="I21" s="17">
        <f t="shared" si="2"/>
        <v>35</v>
      </c>
    </row>
    <row r="22" spans="1:9" ht="15.75" customHeight="1">
      <c r="A22" s="14">
        <v>13</v>
      </c>
      <c r="B22" s="15" t="s">
        <v>25</v>
      </c>
      <c r="C22" s="19">
        <v>19</v>
      </c>
      <c r="D22" s="17">
        <f t="shared" si="0"/>
        <v>48</v>
      </c>
      <c r="F22" s="14">
        <v>13</v>
      </c>
      <c r="G22" s="15" t="s">
        <v>25</v>
      </c>
      <c r="H22" s="18">
        <f t="shared" si="1"/>
        <v>19</v>
      </c>
      <c r="I22" s="17">
        <f t="shared" si="2"/>
        <v>48</v>
      </c>
    </row>
    <row r="23" spans="1:9" ht="15.75" customHeight="1">
      <c r="A23" s="14">
        <v>14</v>
      </c>
      <c r="B23" s="15" t="s">
        <v>26</v>
      </c>
      <c r="C23" s="16">
        <v>25</v>
      </c>
      <c r="D23" s="17">
        <f t="shared" si="0"/>
        <v>63</v>
      </c>
      <c r="F23" s="14">
        <v>14</v>
      </c>
      <c r="G23" s="15" t="s">
        <v>26</v>
      </c>
      <c r="H23" s="18">
        <f t="shared" si="1"/>
        <v>25</v>
      </c>
      <c r="I23" s="17">
        <f t="shared" si="2"/>
        <v>63</v>
      </c>
    </row>
    <row r="24" spans="1:9" ht="15.75" customHeight="1">
      <c r="A24" s="14">
        <v>15</v>
      </c>
      <c r="B24" s="15" t="s">
        <v>27</v>
      </c>
      <c r="C24" s="19">
        <v>14</v>
      </c>
      <c r="D24" s="17">
        <f t="shared" si="0"/>
        <v>35</v>
      </c>
      <c r="F24" s="14">
        <v>15</v>
      </c>
      <c r="G24" s="15" t="s">
        <v>27</v>
      </c>
      <c r="H24" s="18">
        <f t="shared" si="1"/>
        <v>14</v>
      </c>
      <c r="I24" s="17">
        <f t="shared" si="2"/>
        <v>35</v>
      </c>
    </row>
    <row r="25" spans="1:9" ht="15.75" customHeight="1">
      <c r="A25" s="14">
        <v>16</v>
      </c>
      <c r="B25" s="15" t="s">
        <v>28</v>
      </c>
      <c r="C25" s="19">
        <v>27</v>
      </c>
      <c r="D25" s="17">
        <f t="shared" si="0"/>
        <v>68</v>
      </c>
      <c r="F25" s="14">
        <v>16</v>
      </c>
      <c r="G25" s="15" t="s">
        <v>28</v>
      </c>
      <c r="H25" s="18">
        <f t="shared" si="1"/>
        <v>27</v>
      </c>
      <c r="I25" s="17">
        <f t="shared" si="2"/>
        <v>68</v>
      </c>
    </row>
    <row r="26" spans="1:9" ht="15.75" customHeight="1">
      <c r="A26" s="14">
        <v>17</v>
      </c>
      <c r="B26" s="15" t="s">
        <v>29</v>
      </c>
      <c r="C26" s="19">
        <v>10</v>
      </c>
      <c r="D26" s="17">
        <f t="shared" si="0"/>
        <v>25</v>
      </c>
      <c r="F26" s="14">
        <v>17</v>
      </c>
      <c r="G26" s="15" t="s">
        <v>29</v>
      </c>
      <c r="H26" s="18">
        <f t="shared" si="1"/>
        <v>10</v>
      </c>
      <c r="I26" s="17">
        <f t="shared" si="2"/>
        <v>25</v>
      </c>
    </row>
    <row r="27" spans="1:9" ht="15.75" customHeight="1">
      <c r="A27" s="14">
        <v>18</v>
      </c>
      <c r="B27" s="15" t="s">
        <v>30</v>
      </c>
      <c r="C27" s="16">
        <v>40</v>
      </c>
      <c r="D27" s="17">
        <f t="shared" si="0"/>
        <v>100</v>
      </c>
      <c r="F27" s="14">
        <v>18</v>
      </c>
      <c r="G27" s="15" t="s">
        <v>30</v>
      </c>
      <c r="H27" s="18">
        <f t="shared" si="1"/>
        <v>40</v>
      </c>
      <c r="I27" s="17">
        <f t="shared" si="2"/>
        <v>100</v>
      </c>
    </row>
    <row r="28" spans="1:9" ht="15.75" customHeight="1">
      <c r="A28" s="14">
        <v>19</v>
      </c>
      <c r="B28" s="15" t="s">
        <v>31</v>
      </c>
      <c r="C28" s="16">
        <v>16</v>
      </c>
      <c r="D28" s="17">
        <f t="shared" si="0"/>
        <v>40</v>
      </c>
      <c r="F28" s="14">
        <v>19</v>
      </c>
      <c r="G28" s="15" t="s">
        <v>31</v>
      </c>
      <c r="H28" s="18">
        <f t="shared" si="1"/>
        <v>16</v>
      </c>
      <c r="I28" s="17">
        <f t="shared" si="2"/>
        <v>40</v>
      </c>
    </row>
    <row r="29" spans="1:9" ht="15.75" customHeight="1">
      <c r="A29" s="14">
        <v>20</v>
      </c>
      <c r="B29" s="15" t="s">
        <v>32</v>
      </c>
      <c r="C29" s="16">
        <v>39</v>
      </c>
      <c r="D29" s="17">
        <f t="shared" si="0"/>
        <v>98</v>
      </c>
      <c r="F29" s="14">
        <v>20</v>
      </c>
      <c r="G29" s="15" t="s">
        <v>32</v>
      </c>
      <c r="H29" s="18">
        <f t="shared" si="1"/>
        <v>39</v>
      </c>
      <c r="I29" s="17">
        <f t="shared" si="2"/>
        <v>98</v>
      </c>
    </row>
    <row r="30" spans="1:9" ht="15.75" customHeight="1">
      <c r="A30" s="14">
        <v>21</v>
      </c>
      <c r="B30" s="15" t="s">
        <v>33</v>
      </c>
      <c r="C30" s="16">
        <v>13</v>
      </c>
      <c r="D30" s="17">
        <f t="shared" si="0"/>
        <v>33</v>
      </c>
      <c r="F30" s="14">
        <v>21</v>
      </c>
      <c r="G30" s="15" t="s">
        <v>33</v>
      </c>
      <c r="H30" s="18">
        <f t="shared" si="1"/>
        <v>13</v>
      </c>
      <c r="I30" s="17">
        <f t="shared" si="2"/>
        <v>33</v>
      </c>
    </row>
    <row r="31" spans="1:9" ht="15.75" customHeight="1">
      <c r="A31" s="14">
        <v>22</v>
      </c>
      <c r="B31" s="15" t="s">
        <v>34</v>
      </c>
      <c r="C31" s="16">
        <v>24</v>
      </c>
      <c r="D31" s="17">
        <f t="shared" si="0"/>
        <v>60</v>
      </c>
      <c r="F31" s="14">
        <v>22</v>
      </c>
      <c r="G31" s="15" t="s">
        <v>34</v>
      </c>
      <c r="H31" s="18">
        <f t="shared" si="1"/>
        <v>24</v>
      </c>
      <c r="I31" s="17">
        <f t="shared" si="2"/>
        <v>60</v>
      </c>
    </row>
    <row r="32" spans="1:9" ht="15.75" customHeight="1">
      <c r="A32" s="14">
        <v>23</v>
      </c>
      <c r="B32" s="15" t="s">
        <v>35</v>
      </c>
      <c r="C32" s="16">
        <v>14</v>
      </c>
      <c r="D32" s="17">
        <f t="shared" si="0"/>
        <v>35</v>
      </c>
      <c r="F32" s="14">
        <v>23</v>
      </c>
      <c r="G32" s="15" t="s">
        <v>35</v>
      </c>
      <c r="H32" s="18">
        <f t="shared" si="1"/>
        <v>14</v>
      </c>
      <c r="I32" s="17">
        <f t="shared" si="2"/>
        <v>35</v>
      </c>
    </row>
    <row r="33" spans="1:9" ht="15.75" customHeight="1">
      <c r="A33" s="14">
        <v>24</v>
      </c>
      <c r="B33" s="15" t="s">
        <v>36</v>
      </c>
      <c r="C33" s="16">
        <v>37</v>
      </c>
      <c r="D33" s="17">
        <f t="shared" si="0"/>
        <v>93</v>
      </c>
      <c r="F33" s="14">
        <v>24</v>
      </c>
      <c r="G33" s="15" t="s">
        <v>36</v>
      </c>
      <c r="H33" s="18">
        <f t="shared" si="1"/>
        <v>37</v>
      </c>
      <c r="I33" s="17">
        <f t="shared" si="2"/>
        <v>93</v>
      </c>
    </row>
    <row r="34" spans="1:9" ht="15.75" customHeight="1">
      <c r="A34" s="14">
        <v>25</v>
      </c>
      <c r="B34" s="15" t="s">
        <v>37</v>
      </c>
      <c r="C34" s="16">
        <v>9</v>
      </c>
      <c r="D34" s="17">
        <f t="shared" si="0"/>
        <v>23</v>
      </c>
      <c r="F34" s="14">
        <v>25</v>
      </c>
      <c r="G34" s="15" t="s">
        <v>37</v>
      </c>
      <c r="H34" s="18">
        <f t="shared" si="1"/>
        <v>9</v>
      </c>
      <c r="I34" s="17">
        <f t="shared" si="2"/>
        <v>23</v>
      </c>
    </row>
    <row r="35" spans="1:9" ht="15.75" customHeight="1">
      <c r="A35" s="14">
        <v>26</v>
      </c>
      <c r="B35" s="15" t="s">
        <v>38</v>
      </c>
      <c r="C35" s="16">
        <v>11</v>
      </c>
      <c r="D35" s="17">
        <f t="shared" si="0"/>
        <v>28</v>
      </c>
      <c r="F35" s="14">
        <v>26</v>
      </c>
      <c r="G35" s="15" t="s">
        <v>38</v>
      </c>
      <c r="H35" s="18">
        <f t="shared" si="1"/>
        <v>11</v>
      </c>
      <c r="I35" s="17">
        <f t="shared" si="2"/>
        <v>28</v>
      </c>
    </row>
    <row r="36" spans="1:9" ht="15.75" customHeight="1">
      <c r="A36" s="14">
        <v>27</v>
      </c>
      <c r="B36" s="15" t="s">
        <v>39</v>
      </c>
      <c r="C36" s="16">
        <v>5</v>
      </c>
      <c r="D36" s="17">
        <f t="shared" si="0"/>
        <v>13</v>
      </c>
      <c r="F36" s="14">
        <v>27</v>
      </c>
      <c r="G36" s="15" t="s">
        <v>39</v>
      </c>
      <c r="H36" s="18">
        <f t="shared" si="1"/>
        <v>5</v>
      </c>
      <c r="I36" s="17">
        <f t="shared" si="2"/>
        <v>13</v>
      </c>
    </row>
    <row r="37" spans="1:9" ht="15.75" customHeight="1">
      <c r="A37" s="14">
        <v>28</v>
      </c>
      <c r="B37" s="15" t="s">
        <v>40</v>
      </c>
      <c r="C37" s="19">
        <v>31</v>
      </c>
      <c r="D37" s="17">
        <f t="shared" si="0"/>
        <v>78</v>
      </c>
      <c r="F37" s="14">
        <v>28</v>
      </c>
      <c r="G37" s="15" t="s">
        <v>40</v>
      </c>
      <c r="H37" s="18">
        <f t="shared" si="1"/>
        <v>31</v>
      </c>
      <c r="I37" s="17">
        <f t="shared" si="2"/>
        <v>78</v>
      </c>
    </row>
    <row r="38" spans="1:9" ht="15.75" customHeight="1">
      <c r="A38" s="14">
        <v>29</v>
      </c>
      <c r="B38" s="15" t="s">
        <v>41</v>
      </c>
      <c r="C38" s="16">
        <v>6</v>
      </c>
      <c r="D38" s="17">
        <f t="shared" si="0"/>
        <v>15</v>
      </c>
      <c r="F38" s="14">
        <v>29</v>
      </c>
      <c r="G38" s="15" t="s">
        <v>41</v>
      </c>
      <c r="H38" s="18">
        <f t="shared" si="1"/>
        <v>6</v>
      </c>
      <c r="I38" s="17">
        <f t="shared" si="2"/>
        <v>15</v>
      </c>
    </row>
    <row r="39" spans="1:9" ht="15.75" customHeight="1">
      <c r="A39" s="14">
        <v>30</v>
      </c>
      <c r="B39" s="15" t="s">
        <v>42</v>
      </c>
      <c r="C39" s="16">
        <v>7</v>
      </c>
      <c r="D39" s="17">
        <f t="shared" si="0"/>
        <v>18</v>
      </c>
      <c r="F39" s="14">
        <v>30</v>
      </c>
      <c r="G39" s="15" t="s">
        <v>42</v>
      </c>
      <c r="H39" s="18">
        <f t="shared" si="1"/>
        <v>7</v>
      </c>
      <c r="I39" s="17">
        <f t="shared" si="2"/>
        <v>18</v>
      </c>
    </row>
    <row r="40" spans="1:9" ht="15.75" customHeight="1">
      <c r="A40" s="14">
        <v>31</v>
      </c>
      <c r="B40" s="15" t="s">
        <v>43</v>
      </c>
      <c r="C40" s="16">
        <v>31</v>
      </c>
      <c r="D40" s="17">
        <f t="shared" si="0"/>
        <v>78</v>
      </c>
      <c r="F40" s="14">
        <v>31</v>
      </c>
      <c r="G40" s="15" t="s">
        <v>43</v>
      </c>
      <c r="H40" s="18">
        <f t="shared" si="1"/>
        <v>31</v>
      </c>
      <c r="I40" s="17">
        <f t="shared" si="2"/>
        <v>78</v>
      </c>
    </row>
    <row r="41" spans="1:9" ht="15.75" customHeight="1">
      <c r="A41" s="14">
        <v>32</v>
      </c>
      <c r="B41" s="15" t="s">
        <v>44</v>
      </c>
      <c r="C41" s="16">
        <v>30</v>
      </c>
      <c r="D41" s="17">
        <f t="shared" si="0"/>
        <v>75</v>
      </c>
      <c r="F41" s="14">
        <v>32</v>
      </c>
      <c r="G41" s="15" t="s">
        <v>44</v>
      </c>
      <c r="H41" s="18">
        <f t="shared" si="1"/>
        <v>30</v>
      </c>
      <c r="I41" s="17">
        <f t="shared" si="2"/>
        <v>75</v>
      </c>
    </row>
    <row r="42" spans="1:9" ht="15.75" customHeight="1">
      <c r="A42" s="14">
        <v>33</v>
      </c>
      <c r="B42" s="15" t="s">
        <v>45</v>
      </c>
      <c r="C42" s="19">
        <v>11</v>
      </c>
      <c r="D42" s="17">
        <f t="shared" si="0"/>
        <v>28</v>
      </c>
      <c r="F42" s="14">
        <v>33</v>
      </c>
      <c r="G42" s="15" t="s">
        <v>45</v>
      </c>
      <c r="H42" s="18">
        <f t="shared" si="1"/>
        <v>11</v>
      </c>
      <c r="I42" s="17">
        <f t="shared" si="2"/>
        <v>28</v>
      </c>
    </row>
    <row r="43" spans="1:9" ht="15.75" customHeight="1">
      <c r="A43" s="20">
        <v>34</v>
      </c>
      <c r="B43" s="21" t="s">
        <v>46</v>
      </c>
      <c r="C43" s="22">
        <v>19</v>
      </c>
      <c r="D43" s="23">
        <f t="shared" si="0"/>
        <v>48</v>
      </c>
      <c r="F43" s="20">
        <v>34</v>
      </c>
      <c r="G43" s="21" t="s">
        <v>46</v>
      </c>
      <c r="H43" s="24">
        <f t="shared" si="1"/>
        <v>19</v>
      </c>
      <c r="I43" s="23">
        <f t="shared" si="2"/>
        <v>48</v>
      </c>
    </row>
    <row r="44" spans="1:9" ht="15.75" customHeight="1">
      <c r="A44" s="14">
        <v>35</v>
      </c>
      <c r="B44" s="15" t="s">
        <v>47</v>
      </c>
      <c r="C44" s="16">
        <v>14</v>
      </c>
      <c r="D44" s="17">
        <f t="shared" si="0"/>
        <v>35</v>
      </c>
      <c r="E44" s="25"/>
      <c r="F44" s="14">
        <v>35</v>
      </c>
      <c r="G44" s="15" t="s">
        <v>47</v>
      </c>
      <c r="H44" s="18">
        <f t="shared" si="1"/>
        <v>14</v>
      </c>
      <c r="I44" s="17">
        <f t="shared" si="2"/>
        <v>35</v>
      </c>
    </row>
    <row r="45" spans="1:9" ht="15.75" customHeight="1">
      <c r="A45" s="14">
        <v>36</v>
      </c>
      <c r="B45" s="15" t="s">
        <v>48</v>
      </c>
      <c r="C45" s="16">
        <v>22</v>
      </c>
      <c r="D45" s="17">
        <f t="shared" si="0"/>
        <v>55</v>
      </c>
      <c r="E45" s="25"/>
      <c r="F45" s="14">
        <v>36</v>
      </c>
      <c r="G45" s="15" t="s">
        <v>48</v>
      </c>
      <c r="H45" s="18">
        <f t="shared" si="1"/>
        <v>22</v>
      </c>
      <c r="I45" s="17">
        <f t="shared" si="2"/>
        <v>55</v>
      </c>
    </row>
    <row r="46" spans="1:9" ht="15.75" customHeight="1">
      <c r="A46" s="14">
        <v>37</v>
      </c>
      <c r="B46" s="15" t="s">
        <v>49</v>
      </c>
      <c r="C46" s="16">
        <v>12</v>
      </c>
      <c r="D46" s="17">
        <f t="shared" si="0"/>
        <v>30</v>
      </c>
      <c r="E46" s="25"/>
      <c r="F46" s="14">
        <v>37</v>
      </c>
      <c r="G46" s="15" t="s">
        <v>49</v>
      </c>
      <c r="H46" s="18">
        <f t="shared" si="1"/>
        <v>12</v>
      </c>
      <c r="I46" s="17">
        <f t="shared" si="2"/>
        <v>30</v>
      </c>
    </row>
    <row r="47" spans="1:9" ht="15.75" customHeight="1">
      <c r="A47" s="14">
        <v>38</v>
      </c>
      <c r="B47" s="15" t="s">
        <v>50</v>
      </c>
      <c r="C47" s="16" t="s">
        <v>73</v>
      </c>
      <c r="D47" s="23" t="str">
        <f t="shared" si="0"/>
        <v>AB</v>
      </c>
      <c r="E47" s="25"/>
      <c r="F47" s="14">
        <v>38</v>
      </c>
      <c r="G47" s="15" t="s">
        <v>50</v>
      </c>
      <c r="H47" s="24" t="str">
        <f t="shared" si="1"/>
        <v>AB</v>
      </c>
      <c r="I47" s="17" t="str">
        <f t="shared" si="2"/>
        <v>AB</v>
      </c>
    </row>
    <row r="48" spans="1:9" ht="15.75" customHeight="1">
      <c r="A48" s="14">
        <v>39</v>
      </c>
      <c r="B48" s="15" t="s">
        <v>51</v>
      </c>
      <c r="C48" s="16">
        <v>36</v>
      </c>
      <c r="D48" s="17">
        <f t="shared" si="0"/>
        <v>90</v>
      </c>
      <c r="E48" s="25"/>
      <c r="F48" s="14">
        <v>39</v>
      </c>
      <c r="G48" s="15" t="s">
        <v>51</v>
      </c>
      <c r="H48" s="18">
        <f t="shared" si="1"/>
        <v>36</v>
      </c>
      <c r="I48" s="17">
        <f t="shared" si="2"/>
        <v>90</v>
      </c>
    </row>
    <row r="49" spans="1:9" ht="15.75" customHeight="1">
      <c r="A49" s="14">
        <v>40</v>
      </c>
      <c r="B49" s="15" t="s">
        <v>52</v>
      </c>
      <c r="C49" s="16">
        <v>24</v>
      </c>
      <c r="D49" s="17">
        <f t="shared" si="0"/>
        <v>60</v>
      </c>
      <c r="E49" s="25"/>
      <c r="F49" s="14">
        <v>40</v>
      </c>
      <c r="G49" s="15" t="s">
        <v>52</v>
      </c>
      <c r="H49" s="18">
        <f t="shared" si="1"/>
        <v>24</v>
      </c>
      <c r="I49" s="23">
        <f t="shared" si="2"/>
        <v>60</v>
      </c>
    </row>
    <row r="50" spans="1:9" ht="15.75" customHeight="1">
      <c r="A50" s="14">
        <v>41</v>
      </c>
      <c r="B50" s="15" t="s">
        <v>53</v>
      </c>
      <c r="C50" s="16">
        <v>28</v>
      </c>
      <c r="D50" s="17">
        <f t="shared" si="0"/>
        <v>70</v>
      </c>
      <c r="E50" s="25"/>
      <c r="F50" s="14">
        <v>41</v>
      </c>
      <c r="G50" s="15" t="s">
        <v>53</v>
      </c>
      <c r="H50" s="18">
        <f t="shared" si="1"/>
        <v>28</v>
      </c>
      <c r="I50" s="17">
        <f t="shared" si="2"/>
        <v>70</v>
      </c>
    </row>
    <row r="51" spans="1:9" ht="15.75" customHeight="1">
      <c r="A51" s="26">
        <v>42</v>
      </c>
      <c r="B51" s="27" t="s">
        <v>54</v>
      </c>
      <c r="C51" s="19">
        <v>11</v>
      </c>
      <c r="D51" s="23">
        <f t="shared" si="0"/>
        <v>28</v>
      </c>
      <c r="E51" s="25"/>
      <c r="F51" s="14">
        <v>42</v>
      </c>
      <c r="G51" s="27" t="s">
        <v>54</v>
      </c>
      <c r="H51" s="24">
        <f t="shared" si="1"/>
        <v>11</v>
      </c>
      <c r="I51" s="17">
        <f t="shared" si="2"/>
        <v>28</v>
      </c>
    </row>
    <row r="52" spans="1:9" ht="15.75" customHeight="1">
      <c r="A52" s="26"/>
      <c r="B52" s="28"/>
      <c r="C52" s="29"/>
      <c r="D52" s="17"/>
      <c r="E52" s="25"/>
      <c r="F52" s="14"/>
      <c r="G52" s="28"/>
      <c r="H52" s="18"/>
      <c r="I52" s="17"/>
    </row>
    <row r="53" spans="1:9" ht="15.75" customHeight="1">
      <c r="A53" s="26"/>
      <c r="B53" s="27"/>
      <c r="C53" s="27"/>
      <c r="D53" s="17"/>
      <c r="E53" s="25"/>
      <c r="F53" s="14"/>
      <c r="G53" s="27"/>
      <c r="H53" s="18"/>
      <c r="I53" s="17"/>
    </row>
    <row r="54" spans="1:9" ht="15.75" customHeight="1">
      <c r="A54" s="26"/>
      <c r="B54" s="27"/>
      <c r="C54" s="27"/>
      <c r="D54" s="17"/>
      <c r="E54" s="25"/>
      <c r="F54" s="14"/>
      <c r="G54" s="27"/>
      <c r="H54" s="18"/>
      <c r="I54" s="17"/>
    </row>
    <row r="55" spans="1:9" ht="15.75" customHeight="1">
      <c r="A55" s="26"/>
      <c r="B55" s="27"/>
      <c r="C55" s="27"/>
      <c r="D55" s="23"/>
      <c r="E55" s="25"/>
      <c r="F55" s="14"/>
      <c r="G55" s="27"/>
      <c r="H55" s="24"/>
      <c r="I55" s="23"/>
    </row>
    <row r="56" spans="1:9" ht="15.75" customHeight="1">
      <c r="A56" s="26"/>
      <c r="B56" s="27"/>
      <c r="C56" s="27"/>
      <c r="D56" s="17"/>
      <c r="E56" s="25"/>
      <c r="F56" s="14"/>
      <c r="G56" s="27"/>
      <c r="H56" s="18"/>
      <c r="I56" s="17"/>
    </row>
    <row r="57" spans="1:9" ht="15.75" customHeight="1">
      <c r="A57" s="27"/>
      <c r="B57" s="27"/>
      <c r="C57" s="27"/>
      <c r="D57" s="17"/>
      <c r="E57" s="25"/>
      <c r="F57" s="27"/>
      <c r="G57" s="27"/>
      <c r="H57" s="18"/>
      <c r="I57" s="17"/>
    </row>
    <row r="58" spans="1:9" ht="15.75" customHeight="1">
      <c r="A58" s="8"/>
      <c r="B58" s="8"/>
      <c r="C58" s="8"/>
      <c r="D58" s="30" t="s">
        <v>55</v>
      </c>
      <c r="F58" s="8"/>
      <c r="G58" s="8"/>
      <c r="H58" s="8"/>
      <c r="I58" s="30" t="s">
        <v>55</v>
      </c>
    </row>
    <row r="59" spans="1:9" ht="15.75" customHeight="1">
      <c r="A59" s="78" t="s">
        <v>56</v>
      </c>
      <c r="B59" s="79"/>
      <c r="C59" s="8"/>
      <c r="D59" s="8"/>
      <c r="F59" s="78" t="s">
        <v>56</v>
      </c>
      <c r="G59" s="79"/>
      <c r="H59" s="8"/>
      <c r="I59" s="8"/>
    </row>
    <row r="60" spans="1:9" ht="15.75" customHeight="1">
      <c r="A60" s="31" t="s">
        <v>57</v>
      </c>
      <c r="B60" s="32">
        <f>COUNTIF(D10:D57,"&gt;=90")</f>
        <v>4</v>
      </c>
      <c r="C60" s="30" t="s">
        <v>58</v>
      </c>
      <c r="D60" s="34">
        <f>COUNT(C10:C57)</f>
        <v>41</v>
      </c>
      <c r="F60" s="31" t="s">
        <v>57</v>
      </c>
      <c r="G60" s="32">
        <f>COUNTIF(I10:I57,"&gt;=90")</f>
        <v>4</v>
      </c>
      <c r="H60" s="30" t="s">
        <v>58</v>
      </c>
      <c r="I60" s="34">
        <f>COUNT(H10:H57)</f>
        <v>41</v>
      </c>
    </row>
    <row r="61" spans="1:9" ht="15.75" customHeight="1">
      <c r="A61" s="31" t="s">
        <v>59</v>
      </c>
      <c r="B61" s="32">
        <f>COUNTIF(D10:D57,"&gt;=75")-B60</f>
        <v>5</v>
      </c>
      <c r="C61" s="30" t="s">
        <v>60</v>
      </c>
      <c r="D61" s="34">
        <f>COUNTIF(D10:D57,"=AB")</f>
        <v>1</v>
      </c>
      <c r="F61" s="31" t="s">
        <v>59</v>
      </c>
      <c r="G61" s="32">
        <f>COUNTIF(I10:I57,"&gt;=75")-G60</f>
        <v>5</v>
      </c>
      <c r="H61" s="30" t="s">
        <v>60</v>
      </c>
      <c r="I61" s="34">
        <f>COUNTIF(I10:I57,"=AB")</f>
        <v>1</v>
      </c>
    </row>
    <row r="62" spans="1:9" ht="15.75" customHeight="1">
      <c r="A62" s="31" t="s">
        <v>61</v>
      </c>
      <c r="B62" s="32">
        <f>COUNTIF(D10:D57,"&gt;=60")-B61-B60</f>
        <v>7</v>
      </c>
      <c r="C62" s="30" t="s">
        <v>62</v>
      </c>
      <c r="D62" s="35">
        <f>COUNTIF(D10:D57,"&gt;=33")</f>
        <v>27</v>
      </c>
      <c r="F62" s="31" t="s">
        <v>61</v>
      </c>
      <c r="G62" s="32">
        <f>COUNTIF(I10:I57,"&gt;=60")-G61-G60</f>
        <v>7</v>
      </c>
      <c r="H62" s="30" t="s">
        <v>62</v>
      </c>
      <c r="I62" s="35">
        <f>COUNTIF(I10:I57,"&gt;=33")</f>
        <v>27</v>
      </c>
    </row>
    <row r="63" spans="1:9" ht="15.75" customHeight="1">
      <c r="A63" s="31" t="s">
        <v>63</v>
      </c>
      <c r="B63" s="32">
        <f>COUNTIF(D10:D57,"&gt;=45")-B62-B61-B60</f>
        <v>4</v>
      </c>
      <c r="C63" s="30" t="s">
        <v>64</v>
      </c>
      <c r="D63" s="34">
        <f>(D62/D60)*100</f>
        <v>65.853658536585371</v>
      </c>
      <c r="F63" s="31" t="s">
        <v>63</v>
      </c>
      <c r="G63" s="32">
        <f>COUNTIF(I10:I57,"&gt;=45")-G62-G61-G60</f>
        <v>4</v>
      </c>
      <c r="H63" s="30" t="s">
        <v>64</v>
      </c>
      <c r="I63" s="34">
        <f>(I62/I60)*100</f>
        <v>65.853658536585371</v>
      </c>
    </row>
    <row r="64" spans="1:9" ht="15.75" customHeight="1">
      <c r="A64" s="31" t="s">
        <v>65</v>
      </c>
      <c r="B64" s="32">
        <f>COUNTIF(D10:D57,"&gt;=33")-B63-B62-B61-B60</f>
        <v>7</v>
      </c>
      <c r="C64" s="8"/>
      <c r="D64" s="8"/>
      <c r="F64" s="31" t="s">
        <v>65</v>
      </c>
      <c r="G64" s="32">
        <f>COUNTIF(I10:I57,"&gt;=33")-G63-G62-G61-G60</f>
        <v>7</v>
      </c>
      <c r="H64" s="8"/>
      <c r="I64" s="8"/>
    </row>
    <row r="65" spans="1:9" ht="15.75" customHeight="1">
      <c r="A65" s="31" t="s">
        <v>66</v>
      </c>
      <c r="B65" s="32">
        <f>COUNTIF(D10:D57,"&lt;33")-COUNTIF(D10:D57,"=0.0")</f>
        <v>14</v>
      </c>
      <c r="C65" s="8"/>
      <c r="D65" s="8"/>
      <c r="F65" s="31" t="s">
        <v>66</v>
      </c>
      <c r="G65" s="32">
        <f>COUNTIF(I10:I57,"&lt;33")-COUNTIF(I10:I57,"=0.0")</f>
        <v>14</v>
      </c>
      <c r="H65" s="8"/>
      <c r="I65" s="8"/>
    </row>
    <row r="66" spans="1:9" ht="15.75" customHeight="1">
      <c r="A66" s="8"/>
      <c r="B66" s="8"/>
      <c r="C66" s="8"/>
      <c r="D66" s="8"/>
      <c r="F66" s="8"/>
      <c r="G66" s="8"/>
      <c r="H66" s="8"/>
      <c r="I66" s="8"/>
    </row>
    <row r="67" spans="1:9" ht="15.75" customHeight="1">
      <c r="A67" s="30" t="s">
        <v>67</v>
      </c>
      <c r="B67" s="8"/>
      <c r="C67" s="8"/>
      <c r="D67" s="36"/>
      <c r="F67" s="30" t="s">
        <v>67</v>
      </c>
      <c r="G67" s="8"/>
      <c r="H67" s="8"/>
      <c r="I67" s="36"/>
    </row>
    <row r="68" spans="1:9" ht="15.75" customHeight="1">
      <c r="A68" s="30" t="s">
        <v>68</v>
      </c>
      <c r="B68" s="8"/>
      <c r="C68" s="8"/>
      <c r="D68" s="30" t="s">
        <v>69</v>
      </c>
      <c r="F68" s="30" t="s">
        <v>68</v>
      </c>
      <c r="G68" s="8"/>
      <c r="H68" s="8"/>
      <c r="I68" s="30" t="s">
        <v>69</v>
      </c>
    </row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B9"/>
    <mergeCell ref="A59:B59"/>
    <mergeCell ref="F59:G59"/>
    <mergeCell ref="A1:D1"/>
    <mergeCell ref="F1:I1"/>
    <mergeCell ref="A2:D2"/>
    <mergeCell ref="F2:I2"/>
    <mergeCell ref="A8:A9"/>
    <mergeCell ref="F8:F9"/>
    <mergeCell ref="G8:G9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I1000"/>
  <sheetViews>
    <sheetView workbookViewId="0"/>
  </sheetViews>
  <sheetFormatPr defaultColWidth="12.5703125" defaultRowHeight="15" customHeight="1"/>
  <cols>
    <col min="1" max="1" width="7.7109375" customWidth="1"/>
    <col min="2" max="2" width="27.140625" customWidth="1"/>
    <col min="3" max="3" width="7.140625" customWidth="1"/>
    <col min="4" max="4" width="18.7109375" customWidth="1"/>
    <col min="5" max="5" width="3.5703125" customWidth="1"/>
    <col min="6" max="6" width="8.140625" customWidth="1"/>
    <col min="7" max="7" width="26.42578125" customWidth="1"/>
    <col min="8" max="8" width="8.7109375" customWidth="1"/>
    <col min="9" max="9" width="14.140625" customWidth="1"/>
  </cols>
  <sheetData>
    <row r="1" spans="1:9" ht="29.25" customHeight="1">
      <c r="A1" s="80" t="s">
        <v>0</v>
      </c>
      <c r="B1" s="81"/>
      <c r="C1" s="81"/>
      <c r="D1" s="81"/>
      <c r="F1" s="80" t="s">
        <v>0</v>
      </c>
      <c r="G1" s="81"/>
      <c r="H1" s="81"/>
      <c r="I1" s="81"/>
    </row>
    <row r="2" spans="1:9" ht="15.75" customHeight="1">
      <c r="A2" s="82" t="s">
        <v>1</v>
      </c>
      <c r="B2" s="81"/>
      <c r="C2" s="81"/>
      <c r="D2" s="81"/>
      <c r="F2" s="82" t="s">
        <v>1</v>
      </c>
      <c r="G2" s="81"/>
      <c r="H2" s="81"/>
      <c r="I2" s="81"/>
    </row>
    <row r="3" spans="1:9" ht="15.75" customHeight="1">
      <c r="B3" s="1" t="s">
        <v>2</v>
      </c>
      <c r="D3" s="2" t="s">
        <v>70</v>
      </c>
      <c r="G3" s="1" t="s">
        <v>2</v>
      </c>
      <c r="I3" s="2" t="s">
        <v>70</v>
      </c>
    </row>
    <row r="4" spans="1:9" ht="15.75" customHeight="1">
      <c r="A4" s="3" t="s">
        <v>4</v>
      </c>
      <c r="B4" s="4"/>
      <c r="C4" s="4"/>
      <c r="F4" s="3" t="s">
        <v>4</v>
      </c>
      <c r="G4" s="4"/>
      <c r="H4" s="4"/>
    </row>
    <row r="5" spans="1:9" ht="15.75" customHeight="1">
      <c r="A5" s="3" t="s">
        <v>77</v>
      </c>
      <c r="B5" s="3"/>
      <c r="C5" s="4"/>
      <c r="F5" s="3" t="s">
        <v>77</v>
      </c>
      <c r="G5" s="3"/>
      <c r="H5" s="4"/>
    </row>
    <row r="6" spans="1:9" ht="15.75" customHeight="1">
      <c r="A6" s="9" t="s">
        <v>78</v>
      </c>
      <c r="B6" s="7"/>
      <c r="C6" s="7"/>
      <c r="D6" s="8"/>
      <c r="F6" s="9" t="s">
        <v>78</v>
      </c>
      <c r="G6" s="7"/>
      <c r="H6" s="7"/>
      <c r="I6" s="8"/>
    </row>
    <row r="7" spans="1:9" ht="15.75" customHeight="1">
      <c r="A7" s="9" t="s">
        <v>79</v>
      </c>
      <c r="B7" s="7"/>
      <c r="C7" s="7"/>
      <c r="D7" s="4"/>
      <c r="E7" s="4"/>
      <c r="F7" s="9" t="s">
        <v>79</v>
      </c>
      <c r="G7" s="10"/>
      <c r="H7" s="10"/>
    </row>
    <row r="8" spans="1:9" ht="15.75" customHeight="1">
      <c r="A8" s="83" t="s">
        <v>9</v>
      </c>
      <c r="B8" s="76" t="s">
        <v>10</v>
      </c>
      <c r="C8" s="11" t="s">
        <v>11</v>
      </c>
      <c r="D8" s="11" t="s">
        <v>12</v>
      </c>
      <c r="F8" s="83" t="s">
        <v>9</v>
      </c>
      <c r="G8" s="76" t="s">
        <v>10</v>
      </c>
      <c r="H8" s="11" t="s">
        <v>11</v>
      </c>
      <c r="I8" s="11" t="s">
        <v>12</v>
      </c>
    </row>
    <row r="9" spans="1:9" ht="15.75" customHeight="1">
      <c r="A9" s="84"/>
      <c r="B9" s="77"/>
      <c r="C9" s="12">
        <v>40</v>
      </c>
      <c r="D9" s="13"/>
      <c r="F9" s="84"/>
      <c r="G9" s="77"/>
      <c r="H9" s="12">
        <v>40</v>
      </c>
      <c r="I9" s="13"/>
    </row>
    <row r="10" spans="1:9" ht="15.75" customHeight="1">
      <c r="A10" s="14">
        <v>1</v>
      </c>
      <c r="B10" s="15" t="s">
        <v>13</v>
      </c>
      <c r="C10" s="16">
        <v>20</v>
      </c>
      <c r="D10" s="17">
        <f t="shared" ref="D10:D51" si="0">IF(UPPER(C10)="AB","AB",ROUND(((C10/C$9)*100),0))</f>
        <v>50</v>
      </c>
      <c r="F10" s="14">
        <v>1</v>
      </c>
      <c r="G10" s="15" t="s">
        <v>13</v>
      </c>
      <c r="H10" s="18">
        <f t="shared" ref="H10:H51" si="1">C10</f>
        <v>20</v>
      </c>
      <c r="I10" s="17">
        <f t="shared" ref="I10:I51" si="2">IF(UPPER(H10)="AB","AB",ROUND(((H10/H$9)*100),0))</f>
        <v>50</v>
      </c>
    </row>
    <row r="11" spans="1:9" ht="15.75" customHeight="1">
      <c r="A11" s="14">
        <v>2</v>
      </c>
      <c r="B11" s="15" t="s">
        <v>14</v>
      </c>
      <c r="C11" s="16">
        <v>9</v>
      </c>
      <c r="D11" s="17">
        <f t="shared" si="0"/>
        <v>23</v>
      </c>
      <c r="F11" s="14">
        <v>2</v>
      </c>
      <c r="G11" s="15" t="s">
        <v>14</v>
      </c>
      <c r="H11" s="18">
        <f t="shared" si="1"/>
        <v>9</v>
      </c>
      <c r="I11" s="17">
        <f t="shared" si="2"/>
        <v>23</v>
      </c>
    </row>
    <row r="12" spans="1:9" ht="15.75" customHeight="1">
      <c r="A12" s="14">
        <v>3</v>
      </c>
      <c r="B12" s="15" t="s">
        <v>15</v>
      </c>
      <c r="C12" s="16">
        <v>24</v>
      </c>
      <c r="D12" s="17">
        <f t="shared" si="0"/>
        <v>60</v>
      </c>
      <c r="F12" s="14">
        <v>3</v>
      </c>
      <c r="G12" s="15" t="s">
        <v>15</v>
      </c>
      <c r="H12" s="18">
        <f t="shared" si="1"/>
        <v>24</v>
      </c>
      <c r="I12" s="17">
        <f t="shared" si="2"/>
        <v>60</v>
      </c>
    </row>
    <row r="13" spans="1:9" ht="15.75" customHeight="1">
      <c r="A13" s="14">
        <v>4</v>
      </c>
      <c r="B13" s="15" t="s">
        <v>16</v>
      </c>
      <c r="C13" s="16">
        <v>30</v>
      </c>
      <c r="D13" s="17">
        <f t="shared" si="0"/>
        <v>75</v>
      </c>
      <c r="F13" s="14">
        <v>4</v>
      </c>
      <c r="G13" s="15" t="s">
        <v>16</v>
      </c>
      <c r="H13" s="18">
        <f t="shared" si="1"/>
        <v>30</v>
      </c>
      <c r="I13" s="17">
        <f t="shared" si="2"/>
        <v>75</v>
      </c>
    </row>
    <row r="14" spans="1:9" ht="15.75" customHeight="1">
      <c r="A14" s="14">
        <v>5</v>
      </c>
      <c r="B14" s="15" t="s">
        <v>17</v>
      </c>
      <c r="C14" s="16">
        <v>20</v>
      </c>
      <c r="D14" s="17">
        <f t="shared" si="0"/>
        <v>50</v>
      </c>
      <c r="F14" s="14">
        <v>5</v>
      </c>
      <c r="G14" s="15" t="s">
        <v>17</v>
      </c>
      <c r="H14" s="18">
        <f t="shared" si="1"/>
        <v>20</v>
      </c>
      <c r="I14" s="17">
        <f t="shared" si="2"/>
        <v>50</v>
      </c>
    </row>
    <row r="15" spans="1:9" ht="15.75" customHeight="1">
      <c r="A15" s="14">
        <v>6</v>
      </c>
      <c r="B15" s="15" t="s">
        <v>18</v>
      </c>
      <c r="C15" s="19">
        <v>26</v>
      </c>
      <c r="D15" s="17">
        <f t="shared" si="0"/>
        <v>65</v>
      </c>
      <c r="F15" s="14">
        <v>6</v>
      </c>
      <c r="G15" s="15" t="s">
        <v>18</v>
      </c>
      <c r="H15" s="18">
        <f t="shared" si="1"/>
        <v>26</v>
      </c>
      <c r="I15" s="17">
        <f t="shared" si="2"/>
        <v>65</v>
      </c>
    </row>
    <row r="16" spans="1:9" ht="15.75" customHeight="1">
      <c r="A16" s="14">
        <v>7</v>
      </c>
      <c r="B16" s="15" t="s">
        <v>19</v>
      </c>
      <c r="C16" s="19">
        <v>35</v>
      </c>
      <c r="D16" s="17">
        <f t="shared" si="0"/>
        <v>88</v>
      </c>
      <c r="F16" s="14">
        <v>7</v>
      </c>
      <c r="G16" s="15" t="s">
        <v>19</v>
      </c>
      <c r="H16" s="18">
        <f t="shared" si="1"/>
        <v>35</v>
      </c>
      <c r="I16" s="17">
        <f t="shared" si="2"/>
        <v>88</v>
      </c>
    </row>
    <row r="17" spans="1:9" ht="15.75" customHeight="1">
      <c r="A17" s="14">
        <v>8</v>
      </c>
      <c r="B17" s="15" t="s">
        <v>20</v>
      </c>
      <c r="C17" s="19">
        <v>2</v>
      </c>
      <c r="D17" s="17">
        <f t="shared" si="0"/>
        <v>5</v>
      </c>
      <c r="F17" s="14">
        <v>8</v>
      </c>
      <c r="G17" s="15" t="s">
        <v>20</v>
      </c>
      <c r="H17" s="18">
        <f t="shared" si="1"/>
        <v>2</v>
      </c>
      <c r="I17" s="17">
        <f t="shared" si="2"/>
        <v>5</v>
      </c>
    </row>
    <row r="18" spans="1:9" ht="15.75" customHeight="1">
      <c r="A18" s="14">
        <v>9</v>
      </c>
      <c r="B18" s="15" t="s">
        <v>21</v>
      </c>
      <c r="C18" s="19">
        <v>9</v>
      </c>
      <c r="D18" s="17">
        <f t="shared" si="0"/>
        <v>23</v>
      </c>
      <c r="F18" s="14">
        <v>9</v>
      </c>
      <c r="G18" s="15" t="s">
        <v>21</v>
      </c>
      <c r="H18" s="18">
        <f t="shared" si="1"/>
        <v>9</v>
      </c>
      <c r="I18" s="17">
        <f t="shared" si="2"/>
        <v>23</v>
      </c>
    </row>
    <row r="19" spans="1:9" ht="15.75" customHeight="1">
      <c r="A19" s="14">
        <v>10</v>
      </c>
      <c r="B19" s="15" t="s">
        <v>22</v>
      </c>
      <c r="C19" s="19">
        <v>4</v>
      </c>
      <c r="D19" s="17">
        <f t="shared" si="0"/>
        <v>10</v>
      </c>
      <c r="F19" s="14">
        <v>10</v>
      </c>
      <c r="G19" s="15" t="s">
        <v>22</v>
      </c>
      <c r="H19" s="18">
        <f t="shared" si="1"/>
        <v>4</v>
      </c>
      <c r="I19" s="17">
        <f t="shared" si="2"/>
        <v>10</v>
      </c>
    </row>
    <row r="20" spans="1:9" ht="15.75" customHeight="1">
      <c r="A20" s="14">
        <v>11</v>
      </c>
      <c r="B20" s="15" t="s">
        <v>23</v>
      </c>
      <c r="C20" s="16">
        <v>6</v>
      </c>
      <c r="D20" s="17">
        <f t="shared" si="0"/>
        <v>15</v>
      </c>
      <c r="F20" s="14">
        <v>11</v>
      </c>
      <c r="G20" s="15" t="s">
        <v>23</v>
      </c>
      <c r="H20" s="18">
        <f t="shared" si="1"/>
        <v>6</v>
      </c>
      <c r="I20" s="17">
        <f t="shared" si="2"/>
        <v>15</v>
      </c>
    </row>
    <row r="21" spans="1:9" ht="15.75" customHeight="1">
      <c r="A21" s="14">
        <v>12</v>
      </c>
      <c r="B21" s="15" t="s">
        <v>24</v>
      </c>
      <c r="C21" s="16">
        <v>8</v>
      </c>
      <c r="D21" s="17">
        <f t="shared" si="0"/>
        <v>20</v>
      </c>
      <c r="F21" s="14">
        <v>12</v>
      </c>
      <c r="G21" s="15" t="s">
        <v>24</v>
      </c>
      <c r="H21" s="18">
        <f t="shared" si="1"/>
        <v>8</v>
      </c>
      <c r="I21" s="17">
        <f t="shared" si="2"/>
        <v>20</v>
      </c>
    </row>
    <row r="22" spans="1:9" ht="15.75" customHeight="1">
      <c r="A22" s="14">
        <v>13</v>
      </c>
      <c r="B22" s="15" t="s">
        <v>25</v>
      </c>
      <c r="C22" s="19">
        <v>18</v>
      </c>
      <c r="D22" s="17">
        <f t="shared" si="0"/>
        <v>45</v>
      </c>
      <c r="F22" s="14">
        <v>13</v>
      </c>
      <c r="G22" s="15" t="s">
        <v>25</v>
      </c>
      <c r="H22" s="18">
        <f t="shared" si="1"/>
        <v>18</v>
      </c>
      <c r="I22" s="17">
        <f t="shared" si="2"/>
        <v>45</v>
      </c>
    </row>
    <row r="23" spans="1:9" ht="15.75" customHeight="1">
      <c r="A23" s="14">
        <v>14</v>
      </c>
      <c r="B23" s="15" t="s">
        <v>26</v>
      </c>
      <c r="C23" s="16">
        <v>17</v>
      </c>
      <c r="D23" s="17">
        <f t="shared" si="0"/>
        <v>43</v>
      </c>
      <c r="F23" s="14">
        <v>14</v>
      </c>
      <c r="G23" s="15" t="s">
        <v>26</v>
      </c>
      <c r="H23" s="18">
        <f t="shared" si="1"/>
        <v>17</v>
      </c>
      <c r="I23" s="17">
        <f t="shared" si="2"/>
        <v>43</v>
      </c>
    </row>
    <row r="24" spans="1:9" ht="15.75" customHeight="1">
      <c r="A24" s="14">
        <v>15</v>
      </c>
      <c r="B24" s="15" t="s">
        <v>27</v>
      </c>
      <c r="C24" s="19">
        <v>16</v>
      </c>
      <c r="D24" s="17">
        <f t="shared" si="0"/>
        <v>40</v>
      </c>
      <c r="F24" s="14">
        <v>15</v>
      </c>
      <c r="G24" s="15" t="s">
        <v>27</v>
      </c>
      <c r="H24" s="18">
        <f t="shared" si="1"/>
        <v>16</v>
      </c>
      <c r="I24" s="17">
        <f t="shared" si="2"/>
        <v>40</v>
      </c>
    </row>
    <row r="25" spans="1:9" ht="15.75" customHeight="1">
      <c r="A25" s="14">
        <v>16</v>
      </c>
      <c r="B25" s="15" t="s">
        <v>28</v>
      </c>
      <c r="C25" s="19">
        <v>19</v>
      </c>
      <c r="D25" s="17">
        <f t="shared" si="0"/>
        <v>48</v>
      </c>
      <c r="F25" s="14">
        <v>16</v>
      </c>
      <c r="G25" s="15" t="s">
        <v>28</v>
      </c>
      <c r="H25" s="18">
        <f t="shared" si="1"/>
        <v>19</v>
      </c>
      <c r="I25" s="17">
        <f t="shared" si="2"/>
        <v>48</v>
      </c>
    </row>
    <row r="26" spans="1:9" ht="15.75" customHeight="1">
      <c r="A26" s="14">
        <v>17</v>
      </c>
      <c r="B26" s="15" t="s">
        <v>29</v>
      </c>
      <c r="C26" s="19">
        <v>4</v>
      </c>
      <c r="D26" s="17">
        <f t="shared" si="0"/>
        <v>10</v>
      </c>
      <c r="F26" s="14">
        <v>17</v>
      </c>
      <c r="G26" s="15" t="s">
        <v>29</v>
      </c>
      <c r="H26" s="18">
        <f t="shared" si="1"/>
        <v>4</v>
      </c>
      <c r="I26" s="17">
        <f t="shared" si="2"/>
        <v>10</v>
      </c>
    </row>
    <row r="27" spans="1:9" ht="15.75" customHeight="1">
      <c r="A27" s="14">
        <v>18</v>
      </c>
      <c r="B27" s="15" t="s">
        <v>30</v>
      </c>
      <c r="C27" s="16">
        <v>37</v>
      </c>
      <c r="D27" s="17">
        <f t="shared" si="0"/>
        <v>93</v>
      </c>
      <c r="F27" s="14">
        <v>18</v>
      </c>
      <c r="G27" s="15" t="s">
        <v>30</v>
      </c>
      <c r="H27" s="18">
        <f t="shared" si="1"/>
        <v>37</v>
      </c>
      <c r="I27" s="17">
        <f t="shared" si="2"/>
        <v>93</v>
      </c>
    </row>
    <row r="28" spans="1:9" ht="15.75" customHeight="1">
      <c r="A28" s="14">
        <v>19</v>
      </c>
      <c r="B28" s="15" t="s">
        <v>31</v>
      </c>
      <c r="C28" s="16">
        <v>11</v>
      </c>
      <c r="D28" s="17">
        <f t="shared" si="0"/>
        <v>28</v>
      </c>
      <c r="F28" s="14">
        <v>19</v>
      </c>
      <c r="G28" s="15" t="s">
        <v>31</v>
      </c>
      <c r="H28" s="18">
        <f t="shared" si="1"/>
        <v>11</v>
      </c>
      <c r="I28" s="17">
        <f t="shared" si="2"/>
        <v>28</v>
      </c>
    </row>
    <row r="29" spans="1:9" ht="15.75" customHeight="1">
      <c r="A29" s="14">
        <v>20</v>
      </c>
      <c r="B29" s="15" t="s">
        <v>32</v>
      </c>
      <c r="C29" s="16">
        <v>33</v>
      </c>
      <c r="D29" s="17">
        <f t="shared" si="0"/>
        <v>83</v>
      </c>
      <c r="F29" s="14">
        <v>20</v>
      </c>
      <c r="G29" s="15" t="s">
        <v>32</v>
      </c>
      <c r="H29" s="18">
        <f t="shared" si="1"/>
        <v>33</v>
      </c>
      <c r="I29" s="17">
        <f t="shared" si="2"/>
        <v>83</v>
      </c>
    </row>
    <row r="30" spans="1:9" ht="15.75" customHeight="1">
      <c r="A30" s="14">
        <v>21</v>
      </c>
      <c r="B30" s="15" t="s">
        <v>33</v>
      </c>
      <c r="C30" s="16">
        <v>5</v>
      </c>
      <c r="D30" s="17">
        <f t="shared" si="0"/>
        <v>13</v>
      </c>
      <c r="F30" s="14">
        <v>21</v>
      </c>
      <c r="G30" s="15" t="s">
        <v>33</v>
      </c>
      <c r="H30" s="18">
        <f t="shared" si="1"/>
        <v>5</v>
      </c>
      <c r="I30" s="17">
        <f t="shared" si="2"/>
        <v>13</v>
      </c>
    </row>
    <row r="31" spans="1:9" ht="15.75" customHeight="1">
      <c r="A31" s="14">
        <v>22</v>
      </c>
      <c r="B31" s="15" t="s">
        <v>34</v>
      </c>
      <c r="C31" s="16">
        <v>26</v>
      </c>
      <c r="D31" s="17">
        <f t="shared" si="0"/>
        <v>65</v>
      </c>
      <c r="F31" s="14">
        <v>22</v>
      </c>
      <c r="G31" s="15" t="s">
        <v>34</v>
      </c>
      <c r="H31" s="18">
        <f t="shared" si="1"/>
        <v>26</v>
      </c>
      <c r="I31" s="17">
        <f t="shared" si="2"/>
        <v>65</v>
      </c>
    </row>
    <row r="32" spans="1:9" ht="15.75" customHeight="1">
      <c r="A32" s="14">
        <v>23</v>
      </c>
      <c r="B32" s="15" t="s">
        <v>35</v>
      </c>
      <c r="C32" s="16">
        <v>26</v>
      </c>
      <c r="D32" s="17">
        <f t="shared" si="0"/>
        <v>65</v>
      </c>
      <c r="F32" s="14">
        <v>23</v>
      </c>
      <c r="G32" s="15" t="s">
        <v>35</v>
      </c>
      <c r="H32" s="18">
        <f t="shared" si="1"/>
        <v>26</v>
      </c>
      <c r="I32" s="17">
        <f t="shared" si="2"/>
        <v>65</v>
      </c>
    </row>
    <row r="33" spans="1:9" ht="15.75" customHeight="1">
      <c r="A33" s="14">
        <v>24</v>
      </c>
      <c r="B33" s="15" t="s">
        <v>36</v>
      </c>
      <c r="C33" s="16">
        <v>36</v>
      </c>
      <c r="D33" s="17">
        <f t="shared" si="0"/>
        <v>90</v>
      </c>
      <c r="F33" s="14">
        <v>24</v>
      </c>
      <c r="G33" s="15" t="s">
        <v>36</v>
      </c>
      <c r="H33" s="18">
        <f t="shared" si="1"/>
        <v>36</v>
      </c>
      <c r="I33" s="17">
        <f t="shared" si="2"/>
        <v>90</v>
      </c>
    </row>
    <row r="34" spans="1:9" ht="15.75" customHeight="1">
      <c r="A34" s="14">
        <v>25</v>
      </c>
      <c r="B34" s="15" t="s">
        <v>37</v>
      </c>
      <c r="C34" s="16">
        <v>13</v>
      </c>
      <c r="D34" s="17">
        <f t="shared" si="0"/>
        <v>33</v>
      </c>
      <c r="F34" s="14">
        <v>25</v>
      </c>
      <c r="G34" s="15" t="s">
        <v>37</v>
      </c>
      <c r="H34" s="18">
        <f t="shared" si="1"/>
        <v>13</v>
      </c>
      <c r="I34" s="17">
        <f t="shared" si="2"/>
        <v>33</v>
      </c>
    </row>
    <row r="35" spans="1:9" ht="15.75" customHeight="1">
      <c r="A35" s="14">
        <v>26</v>
      </c>
      <c r="B35" s="15" t="s">
        <v>38</v>
      </c>
      <c r="C35" s="16">
        <v>16</v>
      </c>
      <c r="D35" s="17">
        <f t="shared" si="0"/>
        <v>40</v>
      </c>
      <c r="F35" s="14">
        <v>26</v>
      </c>
      <c r="G35" s="15" t="s">
        <v>38</v>
      </c>
      <c r="H35" s="18">
        <f t="shared" si="1"/>
        <v>16</v>
      </c>
      <c r="I35" s="17">
        <f t="shared" si="2"/>
        <v>40</v>
      </c>
    </row>
    <row r="36" spans="1:9" ht="15.75" customHeight="1">
      <c r="A36" s="14">
        <v>27</v>
      </c>
      <c r="B36" s="15" t="s">
        <v>39</v>
      </c>
      <c r="C36" s="16">
        <v>4</v>
      </c>
      <c r="D36" s="17">
        <f t="shared" si="0"/>
        <v>10</v>
      </c>
      <c r="F36" s="14">
        <v>27</v>
      </c>
      <c r="G36" s="15" t="s">
        <v>39</v>
      </c>
      <c r="H36" s="18">
        <f t="shared" si="1"/>
        <v>4</v>
      </c>
      <c r="I36" s="17">
        <f t="shared" si="2"/>
        <v>10</v>
      </c>
    </row>
    <row r="37" spans="1:9" ht="15.75" customHeight="1">
      <c r="A37" s="14">
        <v>28</v>
      </c>
      <c r="B37" s="15" t="s">
        <v>40</v>
      </c>
      <c r="C37" s="19">
        <v>25</v>
      </c>
      <c r="D37" s="17">
        <f t="shared" si="0"/>
        <v>63</v>
      </c>
      <c r="F37" s="14">
        <v>28</v>
      </c>
      <c r="G37" s="15" t="s">
        <v>40</v>
      </c>
      <c r="H37" s="18">
        <f t="shared" si="1"/>
        <v>25</v>
      </c>
      <c r="I37" s="17">
        <f t="shared" si="2"/>
        <v>63</v>
      </c>
    </row>
    <row r="38" spans="1:9" ht="15.75" customHeight="1">
      <c r="A38" s="14">
        <v>29</v>
      </c>
      <c r="B38" s="15" t="s">
        <v>41</v>
      </c>
      <c r="C38" s="16">
        <v>5</v>
      </c>
      <c r="D38" s="17">
        <f t="shared" si="0"/>
        <v>13</v>
      </c>
      <c r="F38" s="14">
        <v>29</v>
      </c>
      <c r="G38" s="15" t="s">
        <v>41</v>
      </c>
      <c r="H38" s="18">
        <f t="shared" si="1"/>
        <v>5</v>
      </c>
      <c r="I38" s="17">
        <f t="shared" si="2"/>
        <v>13</v>
      </c>
    </row>
    <row r="39" spans="1:9" ht="15.75" customHeight="1">
      <c r="A39" s="14">
        <v>30</v>
      </c>
      <c r="B39" s="15" t="s">
        <v>42</v>
      </c>
      <c r="C39" s="16">
        <v>8</v>
      </c>
      <c r="D39" s="17">
        <f t="shared" si="0"/>
        <v>20</v>
      </c>
      <c r="F39" s="14">
        <v>30</v>
      </c>
      <c r="G39" s="15" t="s">
        <v>42</v>
      </c>
      <c r="H39" s="18">
        <f t="shared" si="1"/>
        <v>8</v>
      </c>
      <c r="I39" s="17">
        <f t="shared" si="2"/>
        <v>20</v>
      </c>
    </row>
    <row r="40" spans="1:9" ht="15.75" customHeight="1">
      <c r="A40" s="14">
        <v>31</v>
      </c>
      <c r="B40" s="15" t="s">
        <v>43</v>
      </c>
      <c r="C40" s="16">
        <v>19</v>
      </c>
      <c r="D40" s="17">
        <f t="shared" si="0"/>
        <v>48</v>
      </c>
      <c r="F40" s="14">
        <v>31</v>
      </c>
      <c r="G40" s="15" t="s">
        <v>43</v>
      </c>
      <c r="H40" s="18">
        <f t="shared" si="1"/>
        <v>19</v>
      </c>
      <c r="I40" s="17">
        <f t="shared" si="2"/>
        <v>48</v>
      </c>
    </row>
    <row r="41" spans="1:9" ht="15.75" customHeight="1">
      <c r="A41" s="14">
        <v>32</v>
      </c>
      <c r="B41" s="15" t="s">
        <v>44</v>
      </c>
      <c r="C41" s="16">
        <v>19</v>
      </c>
      <c r="D41" s="17">
        <f t="shared" si="0"/>
        <v>48</v>
      </c>
      <c r="F41" s="14">
        <v>32</v>
      </c>
      <c r="G41" s="15" t="s">
        <v>44</v>
      </c>
      <c r="H41" s="18">
        <f t="shared" si="1"/>
        <v>19</v>
      </c>
      <c r="I41" s="17">
        <f t="shared" si="2"/>
        <v>48</v>
      </c>
    </row>
    <row r="42" spans="1:9" ht="15.75" customHeight="1">
      <c r="A42" s="14">
        <v>33</v>
      </c>
      <c r="B42" s="15" t="s">
        <v>45</v>
      </c>
      <c r="C42" s="19">
        <v>15</v>
      </c>
      <c r="D42" s="17">
        <f t="shared" si="0"/>
        <v>38</v>
      </c>
      <c r="F42" s="14">
        <v>33</v>
      </c>
      <c r="G42" s="15" t="s">
        <v>45</v>
      </c>
      <c r="H42" s="18">
        <f t="shared" si="1"/>
        <v>15</v>
      </c>
      <c r="I42" s="17">
        <f t="shared" si="2"/>
        <v>38</v>
      </c>
    </row>
    <row r="43" spans="1:9" ht="15.75" customHeight="1">
      <c r="A43" s="20">
        <v>34</v>
      </c>
      <c r="B43" s="21" t="s">
        <v>46</v>
      </c>
      <c r="C43" s="22">
        <v>19</v>
      </c>
      <c r="D43" s="23">
        <f t="shared" si="0"/>
        <v>48</v>
      </c>
      <c r="F43" s="20">
        <v>34</v>
      </c>
      <c r="G43" s="21" t="s">
        <v>46</v>
      </c>
      <c r="H43" s="24">
        <f t="shared" si="1"/>
        <v>19</v>
      </c>
      <c r="I43" s="23">
        <f t="shared" si="2"/>
        <v>48</v>
      </c>
    </row>
    <row r="44" spans="1:9" ht="15.75" customHeight="1">
      <c r="A44" s="14">
        <v>35</v>
      </c>
      <c r="B44" s="15" t="s">
        <v>47</v>
      </c>
      <c r="C44" s="16">
        <v>15</v>
      </c>
      <c r="D44" s="17">
        <f t="shared" si="0"/>
        <v>38</v>
      </c>
      <c r="E44" s="25"/>
      <c r="F44" s="14">
        <v>35</v>
      </c>
      <c r="G44" s="15" t="s">
        <v>47</v>
      </c>
      <c r="H44" s="18">
        <f t="shared" si="1"/>
        <v>15</v>
      </c>
      <c r="I44" s="17">
        <f t="shared" si="2"/>
        <v>38</v>
      </c>
    </row>
    <row r="45" spans="1:9" ht="15.75" customHeight="1">
      <c r="A45" s="14">
        <v>36</v>
      </c>
      <c r="B45" s="15" t="s">
        <v>48</v>
      </c>
      <c r="C45" s="16">
        <v>26</v>
      </c>
      <c r="D45" s="17">
        <f t="shared" si="0"/>
        <v>65</v>
      </c>
      <c r="E45" s="25"/>
      <c r="F45" s="14">
        <v>36</v>
      </c>
      <c r="G45" s="15" t="s">
        <v>48</v>
      </c>
      <c r="H45" s="18">
        <f t="shared" si="1"/>
        <v>26</v>
      </c>
      <c r="I45" s="17">
        <f t="shared" si="2"/>
        <v>65</v>
      </c>
    </row>
    <row r="46" spans="1:9" ht="15.75" customHeight="1">
      <c r="A46" s="14">
        <v>37</v>
      </c>
      <c r="B46" s="15" t="s">
        <v>49</v>
      </c>
      <c r="C46" s="16">
        <v>13</v>
      </c>
      <c r="D46" s="17">
        <f t="shared" si="0"/>
        <v>33</v>
      </c>
      <c r="E46" s="25"/>
      <c r="F46" s="14">
        <v>37</v>
      </c>
      <c r="G46" s="15" t="s">
        <v>49</v>
      </c>
      <c r="H46" s="18">
        <f t="shared" si="1"/>
        <v>13</v>
      </c>
      <c r="I46" s="17">
        <f t="shared" si="2"/>
        <v>33</v>
      </c>
    </row>
    <row r="47" spans="1:9" ht="15.75" customHeight="1">
      <c r="A47" s="14">
        <v>38</v>
      </c>
      <c r="B47" s="15" t="s">
        <v>50</v>
      </c>
      <c r="C47" s="16">
        <v>8</v>
      </c>
      <c r="D47" s="17">
        <f t="shared" si="0"/>
        <v>20</v>
      </c>
      <c r="E47" s="25"/>
      <c r="F47" s="14">
        <v>38</v>
      </c>
      <c r="G47" s="15" t="s">
        <v>50</v>
      </c>
      <c r="H47" s="24">
        <f t="shared" si="1"/>
        <v>8</v>
      </c>
      <c r="I47" s="17">
        <f t="shared" si="2"/>
        <v>20</v>
      </c>
    </row>
    <row r="48" spans="1:9" ht="15.75" customHeight="1">
      <c r="A48" s="14">
        <v>39</v>
      </c>
      <c r="B48" s="15" t="s">
        <v>51</v>
      </c>
      <c r="C48" s="16">
        <v>21</v>
      </c>
      <c r="D48" s="23">
        <f t="shared" si="0"/>
        <v>53</v>
      </c>
      <c r="E48" s="25"/>
      <c r="F48" s="14">
        <v>39</v>
      </c>
      <c r="G48" s="15" t="s">
        <v>51</v>
      </c>
      <c r="H48" s="18">
        <f t="shared" si="1"/>
        <v>21</v>
      </c>
      <c r="I48" s="23">
        <f t="shared" si="2"/>
        <v>53</v>
      </c>
    </row>
    <row r="49" spans="1:9" ht="15.75" customHeight="1">
      <c r="A49" s="14">
        <v>40</v>
      </c>
      <c r="B49" s="15" t="s">
        <v>52</v>
      </c>
      <c r="C49" s="16">
        <v>10</v>
      </c>
      <c r="D49" s="17">
        <f t="shared" si="0"/>
        <v>25</v>
      </c>
      <c r="E49" s="25"/>
      <c r="F49" s="14">
        <v>40</v>
      </c>
      <c r="G49" s="15" t="s">
        <v>52</v>
      </c>
      <c r="H49" s="18">
        <f t="shared" si="1"/>
        <v>10</v>
      </c>
      <c r="I49" s="17">
        <f t="shared" si="2"/>
        <v>25</v>
      </c>
    </row>
    <row r="50" spans="1:9" ht="15.75" customHeight="1">
      <c r="A50" s="14">
        <v>41</v>
      </c>
      <c r="B50" s="15" t="s">
        <v>53</v>
      </c>
      <c r="C50" s="16">
        <v>16</v>
      </c>
      <c r="D50" s="17">
        <f t="shared" si="0"/>
        <v>40</v>
      </c>
      <c r="E50" s="25"/>
      <c r="F50" s="14">
        <v>41</v>
      </c>
      <c r="G50" s="15" t="s">
        <v>53</v>
      </c>
      <c r="H50" s="18">
        <f t="shared" si="1"/>
        <v>16</v>
      </c>
      <c r="I50" s="17">
        <f t="shared" si="2"/>
        <v>40</v>
      </c>
    </row>
    <row r="51" spans="1:9" ht="15.75" customHeight="1">
      <c r="A51" s="26">
        <v>42</v>
      </c>
      <c r="B51" s="27" t="s">
        <v>54</v>
      </c>
      <c r="C51" s="19">
        <v>8</v>
      </c>
      <c r="D51" s="17">
        <f t="shared" si="0"/>
        <v>20</v>
      </c>
      <c r="E51" s="25"/>
      <c r="F51" s="14">
        <v>42</v>
      </c>
      <c r="G51" s="27" t="s">
        <v>54</v>
      </c>
      <c r="H51" s="24">
        <f t="shared" si="1"/>
        <v>8</v>
      </c>
      <c r="I51" s="17">
        <f t="shared" si="2"/>
        <v>20</v>
      </c>
    </row>
    <row r="52" spans="1:9" ht="15.75" customHeight="1">
      <c r="A52" s="26"/>
      <c r="B52" s="28"/>
      <c r="C52" s="29"/>
      <c r="D52" s="17"/>
      <c r="E52" s="25"/>
      <c r="F52" s="14"/>
      <c r="G52" s="28"/>
      <c r="H52" s="18"/>
      <c r="I52" s="17"/>
    </row>
    <row r="53" spans="1:9" ht="15.75" customHeight="1">
      <c r="A53" s="26"/>
      <c r="B53" s="27"/>
      <c r="C53" s="14"/>
      <c r="D53" s="23"/>
      <c r="E53" s="25"/>
      <c r="F53" s="14"/>
      <c r="G53" s="27"/>
      <c r="H53" s="18"/>
      <c r="I53" s="23"/>
    </row>
    <row r="54" spans="1:9" ht="15.75" customHeight="1">
      <c r="A54" s="26"/>
      <c r="B54" s="27"/>
      <c r="C54" s="14"/>
      <c r="D54" s="17"/>
      <c r="E54" s="25"/>
      <c r="F54" s="14"/>
      <c r="G54" s="27"/>
      <c r="H54" s="18"/>
      <c r="I54" s="17"/>
    </row>
    <row r="55" spans="1:9" ht="15.75" customHeight="1">
      <c r="A55" s="26"/>
      <c r="B55" s="27"/>
      <c r="C55" s="14"/>
      <c r="D55" s="17"/>
      <c r="E55" s="25"/>
      <c r="F55" s="14"/>
      <c r="G55" s="27"/>
      <c r="H55" s="24"/>
      <c r="I55" s="17"/>
    </row>
    <row r="56" spans="1:9" ht="15.75" customHeight="1">
      <c r="A56" s="26"/>
      <c r="B56" s="27"/>
      <c r="C56" s="14"/>
      <c r="D56" s="17"/>
      <c r="E56" s="25"/>
      <c r="F56" s="14"/>
      <c r="G56" s="27"/>
      <c r="H56" s="18"/>
      <c r="I56" s="17"/>
    </row>
    <row r="57" spans="1:9" ht="15.75" customHeight="1">
      <c r="A57" s="27"/>
      <c r="B57" s="27"/>
      <c r="C57" s="27"/>
      <c r="D57" s="17"/>
      <c r="E57" s="25"/>
      <c r="F57" s="27"/>
      <c r="G57" s="27"/>
      <c r="H57" s="18"/>
      <c r="I57" s="17"/>
    </row>
    <row r="58" spans="1:9" ht="15.75" customHeight="1">
      <c r="A58" s="8"/>
      <c r="B58" s="8"/>
      <c r="C58" s="8"/>
      <c r="D58" s="30" t="s">
        <v>55</v>
      </c>
      <c r="F58" s="8"/>
      <c r="G58" s="8"/>
      <c r="H58" s="8"/>
      <c r="I58" s="30" t="s">
        <v>55</v>
      </c>
    </row>
    <row r="59" spans="1:9" ht="15.75" customHeight="1">
      <c r="A59" s="78" t="s">
        <v>56</v>
      </c>
      <c r="B59" s="79"/>
      <c r="C59" s="8"/>
      <c r="D59" s="8"/>
      <c r="F59" s="78" t="s">
        <v>56</v>
      </c>
      <c r="G59" s="79"/>
      <c r="H59" s="8"/>
      <c r="I59" s="8"/>
    </row>
    <row r="60" spans="1:9" ht="15.75" customHeight="1">
      <c r="A60" s="31" t="s">
        <v>57</v>
      </c>
      <c r="B60" s="32">
        <f>COUNTIF(D10:D57,"&gt;=90")</f>
        <v>2</v>
      </c>
      <c r="C60" s="30" t="s">
        <v>58</v>
      </c>
      <c r="D60" s="34">
        <f>COUNT(C10:C57)</f>
        <v>42</v>
      </c>
      <c r="F60" s="31" t="s">
        <v>57</v>
      </c>
      <c r="G60" s="32">
        <f>COUNTIF(I10:I57,"&gt;=90")</f>
        <v>2</v>
      </c>
      <c r="H60" s="30" t="s">
        <v>58</v>
      </c>
      <c r="I60" s="34">
        <f>COUNT(H10:H57)</f>
        <v>42</v>
      </c>
    </row>
    <row r="61" spans="1:9" ht="15.75" customHeight="1">
      <c r="A61" s="31" t="s">
        <v>59</v>
      </c>
      <c r="B61" s="32">
        <f>COUNTIF(D10:D57,"&gt;=75")-B60</f>
        <v>3</v>
      </c>
      <c r="C61" s="30" t="s">
        <v>60</v>
      </c>
      <c r="D61" s="34">
        <f>COUNTIF(D10:D57,"=AB")</f>
        <v>0</v>
      </c>
      <c r="F61" s="31" t="s">
        <v>59</v>
      </c>
      <c r="G61" s="32">
        <f>COUNTIF(I10:I57,"&gt;=75")-G60</f>
        <v>3</v>
      </c>
      <c r="H61" s="30" t="s">
        <v>60</v>
      </c>
      <c r="I61" s="34">
        <f>COUNTIF(I10:I57,"=AB")</f>
        <v>0</v>
      </c>
    </row>
    <row r="62" spans="1:9" ht="15.75" customHeight="1">
      <c r="A62" s="31" t="s">
        <v>61</v>
      </c>
      <c r="B62" s="32">
        <f>COUNTIF(D10:D57,"&gt;=60")-B61-B60</f>
        <v>6</v>
      </c>
      <c r="C62" s="30" t="s">
        <v>62</v>
      </c>
      <c r="D62" s="35">
        <f>COUNTIF(D10:D57,"&gt;=33")</f>
        <v>27</v>
      </c>
      <c r="F62" s="31" t="s">
        <v>61</v>
      </c>
      <c r="G62" s="32">
        <f>COUNTIF(I10:I57,"&gt;=60")-G61-G60</f>
        <v>6</v>
      </c>
      <c r="H62" s="30" t="s">
        <v>62</v>
      </c>
      <c r="I62" s="35">
        <f>COUNTIF(I10:I57,"&gt;=33")</f>
        <v>27</v>
      </c>
    </row>
    <row r="63" spans="1:9" ht="15.75" customHeight="1">
      <c r="A63" s="31" t="s">
        <v>63</v>
      </c>
      <c r="B63" s="32">
        <f>COUNTIF(D10:D57,"&gt;=45")-B62-B61-B60</f>
        <v>8</v>
      </c>
      <c r="C63" s="30" t="s">
        <v>64</v>
      </c>
      <c r="D63" s="34">
        <f>(D62/D60)*100</f>
        <v>64.285714285714292</v>
      </c>
      <c r="F63" s="31" t="s">
        <v>63</v>
      </c>
      <c r="G63" s="32">
        <f>COUNTIF(I10:I57,"&gt;=45")-G62-G61-G60</f>
        <v>8</v>
      </c>
      <c r="H63" s="30" t="s">
        <v>64</v>
      </c>
      <c r="I63" s="34">
        <f>(I62/I60)*100</f>
        <v>64.285714285714292</v>
      </c>
    </row>
    <row r="64" spans="1:9" ht="15.75" customHeight="1">
      <c r="A64" s="31" t="s">
        <v>65</v>
      </c>
      <c r="B64" s="32">
        <f>COUNTIF(D10:D57,"&gt;=33")-B63-B62-B61-B60</f>
        <v>8</v>
      </c>
      <c r="C64" s="8"/>
      <c r="D64" s="8"/>
      <c r="F64" s="31" t="s">
        <v>65</v>
      </c>
      <c r="G64" s="32">
        <f>COUNTIF(I10:I57,"&gt;=33")-G63-G62-G61-G60</f>
        <v>8</v>
      </c>
      <c r="H64" s="8"/>
      <c r="I64" s="8"/>
    </row>
    <row r="65" spans="1:9" ht="15.75" customHeight="1">
      <c r="A65" s="31" t="s">
        <v>66</v>
      </c>
      <c r="B65" s="32">
        <f>COUNTIF(D10:D57,"&lt;33")-COUNTIF(D10:D57,"=0.0")</f>
        <v>15</v>
      </c>
      <c r="C65" s="8"/>
      <c r="D65" s="8"/>
      <c r="F65" s="31" t="s">
        <v>66</v>
      </c>
      <c r="G65" s="32">
        <f>COUNTIF(I10:I57,"&lt;33")-COUNTIF(I10:I57,"=0.0")</f>
        <v>15</v>
      </c>
      <c r="H65" s="8"/>
      <c r="I65" s="8"/>
    </row>
    <row r="66" spans="1:9" ht="15.75" customHeight="1">
      <c r="A66" s="8"/>
      <c r="B66" s="8"/>
      <c r="C66" s="8"/>
      <c r="D66" s="8"/>
      <c r="F66" s="8"/>
      <c r="G66" s="8"/>
      <c r="H66" s="8"/>
      <c r="I66" s="8"/>
    </row>
    <row r="67" spans="1:9" ht="15.75" customHeight="1">
      <c r="A67" s="30" t="s">
        <v>67</v>
      </c>
      <c r="B67" s="8"/>
      <c r="C67" s="8"/>
      <c r="D67" s="36"/>
      <c r="F67" s="30" t="s">
        <v>67</v>
      </c>
      <c r="G67" s="8"/>
      <c r="H67" s="8"/>
      <c r="I67" s="36"/>
    </row>
    <row r="68" spans="1:9" ht="15.75" customHeight="1">
      <c r="A68" s="30" t="s">
        <v>68</v>
      </c>
      <c r="B68" s="8"/>
      <c r="C68" s="8"/>
      <c r="D68" s="30" t="s">
        <v>69</v>
      </c>
      <c r="F68" s="30" t="s">
        <v>68</v>
      </c>
      <c r="G68" s="8"/>
      <c r="H68" s="8"/>
      <c r="I68" s="30" t="s">
        <v>69</v>
      </c>
    </row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B9"/>
    <mergeCell ref="A59:B59"/>
    <mergeCell ref="F59:G59"/>
    <mergeCell ref="A1:D1"/>
    <mergeCell ref="F1:I1"/>
    <mergeCell ref="A2:D2"/>
    <mergeCell ref="F2:I2"/>
    <mergeCell ref="A8:A9"/>
    <mergeCell ref="F8:F9"/>
    <mergeCell ref="G8:G9"/>
  </mergeCells>
  <printOptions horizontalCentered="1" gridLines="1"/>
  <pageMargins left="0" right="0" top="0" bottom="0.19252121298550492" header="0" footer="0"/>
  <pageSetup paperSize="9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I1000"/>
  <sheetViews>
    <sheetView workbookViewId="0"/>
  </sheetViews>
  <sheetFormatPr defaultColWidth="12.5703125" defaultRowHeight="15" customHeight="1"/>
  <cols>
    <col min="1" max="1" width="7.7109375" customWidth="1"/>
    <col min="2" max="2" width="27.140625" customWidth="1"/>
    <col min="3" max="3" width="7.140625" customWidth="1"/>
    <col min="4" max="4" width="18.7109375" customWidth="1"/>
    <col min="5" max="5" width="3.5703125" customWidth="1"/>
    <col min="6" max="6" width="8.140625" customWidth="1"/>
    <col min="7" max="7" width="26.42578125" customWidth="1"/>
    <col min="8" max="8" width="8.7109375" customWidth="1"/>
    <col min="9" max="9" width="14.140625" customWidth="1"/>
  </cols>
  <sheetData>
    <row r="1" spans="1:9" ht="30.75" customHeight="1">
      <c r="A1" s="80" t="s">
        <v>0</v>
      </c>
      <c r="B1" s="81"/>
      <c r="C1" s="81"/>
      <c r="D1" s="81"/>
      <c r="F1" s="80" t="s">
        <v>0</v>
      </c>
      <c r="G1" s="81"/>
      <c r="H1" s="81"/>
      <c r="I1" s="81"/>
    </row>
    <row r="2" spans="1:9" ht="15.75" customHeight="1">
      <c r="A2" s="82" t="s">
        <v>1</v>
      </c>
      <c r="B2" s="81"/>
      <c r="C2" s="81"/>
      <c r="D2" s="81"/>
      <c r="F2" s="82" t="s">
        <v>1</v>
      </c>
      <c r="G2" s="81"/>
      <c r="H2" s="81"/>
      <c r="I2" s="81"/>
    </row>
    <row r="3" spans="1:9" ht="15.75" customHeight="1">
      <c r="B3" s="1" t="s">
        <v>2</v>
      </c>
      <c r="D3" s="2" t="s">
        <v>70</v>
      </c>
      <c r="G3" s="1" t="s">
        <v>2</v>
      </c>
      <c r="I3" s="2" t="s">
        <v>70</v>
      </c>
    </row>
    <row r="4" spans="1:9" ht="15.75" customHeight="1">
      <c r="A4" s="3" t="s">
        <v>4</v>
      </c>
      <c r="B4" s="4"/>
      <c r="C4" s="4"/>
      <c r="F4" s="3" t="s">
        <v>4</v>
      </c>
      <c r="G4" s="4"/>
      <c r="H4" s="4"/>
    </row>
    <row r="5" spans="1:9" ht="15.75" customHeight="1">
      <c r="A5" s="3" t="s">
        <v>80</v>
      </c>
      <c r="B5" s="4"/>
      <c r="C5" s="4"/>
      <c r="F5" s="3" t="s">
        <v>81</v>
      </c>
      <c r="G5" s="4"/>
      <c r="H5" s="4"/>
    </row>
    <row r="6" spans="1:9" ht="15.75" customHeight="1">
      <c r="A6" s="5" t="s">
        <v>7</v>
      </c>
      <c r="B6" s="7"/>
      <c r="C6" s="7"/>
      <c r="D6" s="8"/>
      <c r="F6" s="5" t="s">
        <v>7</v>
      </c>
      <c r="G6" s="7"/>
      <c r="H6" s="7"/>
      <c r="I6" s="8"/>
    </row>
    <row r="7" spans="1:9" ht="15.75" customHeight="1">
      <c r="A7" s="5" t="s">
        <v>82</v>
      </c>
      <c r="B7" s="10"/>
      <c r="C7" s="10"/>
      <c r="F7" s="5" t="s">
        <v>82</v>
      </c>
      <c r="G7" s="10"/>
      <c r="H7" s="10"/>
    </row>
    <row r="8" spans="1:9" ht="15.75" customHeight="1">
      <c r="A8" s="83" t="s">
        <v>9</v>
      </c>
      <c r="B8" s="76" t="s">
        <v>10</v>
      </c>
      <c r="C8" s="11" t="s">
        <v>11</v>
      </c>
      <c r="D8" s="11" t="s">
        <v>12</v>
      </c>
      <c r="F8" s="83" t="s">
        <v>9</v>
      </c>
      <c r="G8" s="76" t="s">
        <v>10</v>
      </c>
      <c r="H8" s="11" t="s">
        <v>11</v>
      </c>
      <c r="I8" s="11" t="s">
        <v>12</v>
      </c>
    </row>
    <row r="9" spans="1:9" ht="15.75" customHeight="1">
      <c r="A9" s="84"/>
      <c r="B9" s="77"/>
      <c r="C9" s="12">
        <v>40</v>
      </c>
      <c r="D9" s="13"/>
      <c r="F9" s="84"/>
      <c r="G9" s="77"/>
      <c r="H9" s="12">
        <v>40</v>
      </c>
      <c r="I9" s="13"/>
    </row>
    <row r="10" spans="1:9" ht="15.75" customHeight="1">
      <c r="A10" s="14">
        <v>1</v>
      </c>
      <c r="B10" s="15" t="s">
        <v>13</v>
      </c>
      <c r="C10" s="16">
        <v>14</v>
      </c>
      <c r="D10" s="17">
        <f t="shared" ref="D10:D51" si="0">IF(UPPER(C10)="AB","AB",ROUND(((C10/C$9)*100),0))</f>
        <v>35</v>
      </c>
      <c r="F10" s="14">
        <v>1</v>
      </c>
      <c r="G10" s="15" t="s">
        <v>13</v>
      </c>
      <c r="H10" s="18">
        <f t="shared" ref="H10:H51" si="1">C10</f>
        <v>14</v>
      </c>
      <c r="I10" s="17">
        <f t="shared" ref="I10:I51" si="2">IF(UPPER(H10)="AB","AB",ROUND(((H10/H$9)*100),0))</f>
        <v>35</v>
      </c>
    </row>
    <row r="11" spans="1:9" ht="15.75" customHeight="1">
      <c r="A11" s="14">
        <v>2</v>
      </c>
      <c r="B11" s="15" t="s">
        <v>14</v>
      </c>
      <c r="C11" s="16">
        <v>6</v>
      </c>
      <c r="D11" s="17">
        <f t="shared" si="0"/>
        <v>15</v>
      </c>
      <c r="F11" s="14">
        <v>2</v>
      </c>
      <c r="G11" s="15" t="s">
        <v>14</v>
      </c>
      <c r="H11" s="18">
        <f t="shared" si="1"/>
        <v>6</v>
      </c>
      <c r="I11" s="17">
        <f t="shared" si="2"/>
        <v>15</v>
      </c>
    </row>
    <row r="12" spans="1:9" ht="15.75" customHeight="1">
      <c r="A12" s="14">
        <v>3</v>
      </c>
      <c r="B12" s="15" t="s">
        <v>15</v>
      </c>
      <c r="C12" s="16">
        <v>25</v>
      </c>
      <c r="D12" s="17">
        <f t="shared" si="0"/>
        <v>63</v>
      </c>
      <c r="F12" s="14">
        <v>3</v>
      </c>
      <c r="G12" s="15" t="s">
        <v>15</v>
      </c>
      <c r="H12" s="18">
        <f t="shared" si="1"/>
        <v>25</v>
      </c>
      <c r="I12" s="17">
        <f t="shared" si="2"/>
        <v>63</v>
      </c>
    </row>
    <row r="13" spans="1:9" ht="15.75" customHeight="1">
      <c r="A13" s="14">
        <v>4</v>
      </c>
      <c r="B13" s="15" t="s">
        <v>16</v>
      </c>
      <c r="C13" s="16">
        <v>25</v>
      </c>
      <c r="D13" s="17">
        <f t="shared" si="0"/>
        <v>63</v>
      </c>
      <c r="F13" s="14">
        <v>4</v>
      </c>
      <c r="G13" s="15" t="s">
        <v>16</v>
      </c>
      <c r="H13" s="18">
        <f t="shared" si="1"/>
        <v>25</v>
      </c>
      <c r="I13" s="17">
        <f t="shared" si="2"/>
        <v>63</v>
      </c>
    </row>
    <row r="14" spans="1:9" ht="15.75" customHeight="1">
      <c r="A14" s="14">
        <v>5</v>
      </c>
      <c r="B14" s="15" t="s">
        <v>17</v>
      </c>
      <c r="C14" s="16">
        <v>16</v>
      </c>
      <c r="D14" s="17">
        <f t="shared" si="0"/>
        <v>40</v>
      </c>
      <c r="F14" s="14">
        <v>5</v>
      </c>
      <c r="G14" s="15" t="s">
        <v>17</v>
      </c>
      <c r="H14" s="18">
        <f t="shared" si="1"/>
        <v>16</v>
      </c>
      <c r="I14" s="17">
        <f t="shared" si="2"/>
        <v>40</v>
      </c>
    </row>
    <row r="15" spans="1:9" ht="15.75" customHeight="1">
      <c r="A15" s="14">
        <v>6</v>
      </c>
      <c r="B15" s="15" t="s">
        <v>18</v>
      </c>
      <c r="C15" s="19">
        <v>19</v>
      </c>
      <c r="D15" s="17">
        <f t="shared" si="0"/>
        <v>48</v>
      </c>
      <c r="F15" s="14">
        <v>6</v>
      </c>
      <c r="G15" s="15" t="s">
        <v>18</v>
      </c>
      <c r="H15" s="18">
        <f t="shared" si="1"/>
        <v>19</v>
      </c>
      <c r="I15" s="17">
        <f t="shared" si="2"/>
        <v>48</v>
      </c>
    </row>
    <row r="16" spans="1:9" ht="15.75" customHeight="1">
      <c r="A16" s="14">
        <v>7</v>
      </c>
      <c r="B16" s="15" t="s">
        <v>19</v>
      </c>
      <c r="C16" s="19">
        <v>31</v>
      </c>
      <c r="D16" s="17">
        <f t="shared" si="0"/>
        <v>78</v>
      </c>
      <c r="F16" s="14">
        <v>7</v>
      </c>
      <c r="G16" s="15" t="s">
        <v>19</v>
      </c>
      <c r="H16" s="18">
        <f t="shared" si="1"/>
        <v>31</v>
      </c>
      <c r="I16" s="17">
        <f t="shared" si="2"/>
        <v>78</v>
      </c>
    </row>
    <row r="17" spans="1:9" ht="15.75" customHeight="1">
      <c r="A17" s="14">
        <v>8</v>
      </c>
      <c r="B17" s="15" t="s">
        <v>20</v>
      </c>
      <c r="C17" s="19">
        <v>4</v>
      </c>
      <c r="D17" s="17">
        <f t="shared" si="0"/>
        <v>10</v>
      </c>
      <c r="F17" s="14">
        <v>8</v>
      </c>
      <c r="G17" s="15" t="s">
        <v>20</v>
      </c>
      <c r="H17" s="18">
        <f t="shared" si="1"/>
        <v>4</v>
      </c>
      <c r="I17" s="17">
        <f t="shared" si="2"/>
        <v>10</v>
      </c>
    </row>
    <row r="18" spans="1:9" ht="15.75" customHeight="1">
      <c r="A18" s="14">
        <v>9</v>
      </c>
      <c r="B18" s="15" t="s">
        <v>21</v>
      </c>
      <c r="C18" s="19">
        <v>10</v>
      </c>
      <c r="D18" s="17">
        <f t="shared" si="0"/>
        <v>25</v>
      </c>
      <c r="F18" s="14">
        <v>9</v>
      </c>
      <c r="G18" s="15" t="s">
        <v>21</v>
      </c>
      <c r="H18" s="18">
        <f t="shared" si="1"/>
        <v>10</v>
      </c>
      <c r="I18" s="17">
        <f t="shared" si="2"/>
        <v>25</v>
      </c>
    </row>
    <row r="19" spans="1:9" ht="15.75" customHeight="1">
      <c r="A19" s="14">
        <v>10</v>
      </c>
      <c r="B19" s="15" t="s">
        <v>22</v>
      </c>
      <c r="C19" s="19">
        <v>4</v>
      </c>
      <c r="D19" s="17">
        <f t="shared" si="0"/>
        <v>10</v>
      </c>
      <c r="F19" s="14">
        <v>10</v>
      </c>
      <c r="G19" s="15" t="s">
        <v>22</v>
      </c>
      <c r="H19" s="18">
        <f t="shared" si="1"/>
        <v>4</v>
      </c>
      <c r="I19" s="17">
        <f t="shared" si="2"/>
        <v>10</v>
      </c>
    </row>
    <row r="20" spans="1:9" ht="15.75" customHeight="1">
      <c r="A20" s="14">
        <v>11</v>
      </c>
      <c r="B20" s="15" t="s">
        <v>23</v>
      </c>
      <c r="C20" s="16">
        <v>7</v>
      </c>
      <c r="D20" s="17">
        <f t="shared" si="0"/>
        <v>18</v>
      </c>
      <c r="F20" s="14">
        <v>11</v>
      </c>
      <c r="G20" s="15" t="s">
        <v>23</v>
      </c>
      <c r="H20" s="18">
        <f t="shared" si="1"/>
        <v>7</v>
      </c>
      <c r="I20" s="17">
        <f t="shared" si="2"/>
        <v>18</v>
      </c>
    </row>
    <row r="21" spans="1:9" ht="15.75" customHeight="1">
      <c r="A21" s="14">
        <v>12</v>
      </c>
      <c r="B21" s="15" t="s">
        <v>24</v>
      </c>
      <c r="C21" s="16">
        <v>11</v>
      </c>
      <c r="D21" s="17">
        <f t="shared" si="0"/>
        <v>28</v>
      </c>
      <c r="F21" s="14">
        <v>12</v>
      </c>
      <c r="G21" s="15" t="s">
        <v>24</v>
      </c>
      <c r="H21" s="18">
        <f t="shared" si="1"/>
        <v>11</v>
      </c>
      <c r="I21" s="17">
        <f t="shared" si="2"/>
        <v>28</v>
      </c>
    </row>
    <row r="22" spans="1:9" ht="15.75" customHeight="1">
      <c r="A22" s="14">
        <v>13</v>
      </c>
      <c r="B22" s="15" t="s">
        <v>25</v>
      </c>
      <c r="C22" s="19">
        <v>20</v>
      </c>
      <c r="D22" s="17">
        <f t="shared" si="0"/>
        <v>50</v>
      </c>
      <c r="F22" s="14">
        <v>13</v>
      </c>
      <c r="G22" s="15" t="s">
        <v>25</v>
      </c>
      <c r="H22" s="18">
        <f t="shared" si="1"/>
        <v>20</v>
      </c>
      <c r="I22" s="17">
        <f t="shared" si="2"/>
        <v>50</v>
      </c>
    </row>
    <row r="23" spans="1:9" ht="15.75" customHeight="1">
      <c r="A23" s="14">
        <v>14</v>
      </c>
      <c r="B23" s="15" t="s">
        <v>26</v>
      </c>
      <c r="C23" s="16">
        <v>21</v>
      </c>
      <c r="D23" s="17">
        <f t="shared" si="0"/>
        <v>53</v>
      </c>
      <c r="F23" s="14">
        <v>14</v>
      </c>
      <c r="G23" s="15" t="s">
        <v>26</v>
      </c>
      <c r="H23" s="18">
        <f t="shared" si="1"/>
        <v>21</v>
      </c>
      <c r="I23" s="17">
        <f t="shared" si="2"/>
        <v>53</v>
      </c>
    </row>
    <row r="24" spans="1:9" ht="15.75" customHeight="1">
      <c r="A24" s="14">
        <v>15</v>
      </c>
      <c r="B24" s="15" t="s">
        <v>27</v>
      </c>
      <c r="C24" s="19">
        <v>21</v>
      </c>
      <c r="D24" s="17">
        <f t="shared" si="0"/>
        <v>53</v>
      </c>
      <c r="F24" s="14">
        <v>15</v>
      </c>
      <c r="G24" s="15" t="s">
        <v>27</v>
      </c>
      <c r="H24" s="18">
        <f t="shared" si="1"/>
        <v>21</v>
      </c>
      <c r="I24" s="17">
        <f t="shared" si="2"/>
        <v>53</v>
      </c>
    </row>
    <row r="25" spans="1:9" ht="15.75" customHeight="1">
      <c r="A25" s="14">
        <v>16</v>
      </c>
      <c r="B25" s="15" t="s">
        <v>28</v>
      </c>
      <c r="C25" s="19">
        <v>25</v>
      </c>
      <c r="D25" s="17">
        <f t="shared" si="0"/>
        <v>63</v>
      </c>
      <c r="F25" s="14">
        <v>16</v>
      </c>
      <c r="G25" s="15" t="s">
        <v>28</v>
      </c>
      <c r="H25" s="18">
        <f t="shared" si="1"/>
        <v>25</v>
      </c>
      <c r="I25" s="17">
        <f t="shared" si="2"/>
        <v>63</v>
      </c>
    </row>
    <row r="26" spans="1:9" ht="15.75" customHeight="1">
      <c r="A26" s="14">
        <v>17</v>
      </c>
      <c r="B26" s="15" t="s">
        <v>29</v>
      </c>
      <c r="C26" s="19">
        <v>8</v>
      </c>
      <c r="D26" s="17">
        <f t="shared" si="0"/>
        <v>20</v>
      </c>
      <c r="F26" s="14">
        <v>17</v>
      </c>
      <c r="G26" s="15" t="s">
        <v>29</v>
      </c>
      <c r="H26" s="18">
        <f t="shared" si="1"/>
        <v>8</v>
      </c>
      <c r="I26" s="17">
        <f t="shared" si="2"/>
        <v>20</v>
      </c>
    </row>
    <row r="27" spans="1:9" ht="15.75" customHeight="1">
      <c r="A27" s="14">
        <v>18</v>
      </c>
      <c r="B27" s="15" t="s">
        <v>30</v>
      </c>
      <c r="C27" s="16">
        <v>39</v>
      </c>
      <c r="D27" s="17">
        <f t="shared" si="0"/>
        <v>98</v>
      </c>
      <c r="F27" s="14">
        <v>18</v>
      </c>
      <c r="G27" s="15" t="s">
        <v>30</v>
      </c>
      <c r="H27" s="18">
        <f t="shared" si="1"/>
        <v>39</v>
      </c>
      <c r="I27" s="17">
        <f t="shared" si="2"/>
        <v>98</v>
      </c>
    </row>
    <row r="28" spans="1:9" ht="15.75" customHeight="1">
      <c r="A28" s="14">
        <v>19</v>
      </c>
      <c r="B28" s="15" t="s">
        <v>31</v>
      </c>
      <c r="C28" s="16">
        <v>16</v>
      </c>
      <c r="D28" s="17">
        <f t="shared" si="0"/>
        <v>40</v>
      </c>
      <c r="F28" s="14">
        <v>19</v>
      </c>
      <c r="G28" s="15" t="s">
        <v>31</v>
      </c>
      <c r="H28" s="18">
        <f t="shared" si="1"/>
        <v>16</v>
      </c>
      <c r="I28" s="17">
        <f t="shared" si="2"/>
        <v>40</v>
      </c>
    </row>
    <row r="29" spans="1:9" ht="15.75" customHeight="1">
      <c r="A29" s="14">
        <v>20</v>
      </c>
      <c r="B29" s="15" t="s">
        <v>32</v>
      </c>
      <c r="C29" s="16">
        <v>39</v>
      </c>
      <c r="D29" s="17">
        <f t="shared" si="0"/>
        <v>98</v>
      </c>
      <c r="F29" s="14">
        <v>20</v>
      </c>
      <c r="G29" s="15" t="s">
        <v>32</v>
      </c>
      <c r="H29" s="18">
        <f t="shared" si="1"/>
        <v>39</v>
      </c>
      <c r="I29" s="17">
        <f t="shared" si="2"/>
        <v>98</v>
      </c>
    </row>
    <row r="30" spans="1:9" ht="15.75" customHeight="1">
      <c r="A30" s="14">
        <v>21</v>
      </c>
      <c r="B30" s="15" t="s">
        <v>33</v>
      </c>
      <c r="C30" s="16">
        <v>6</v>
      </c>
      <c r="D30" s="17">
        <f t="shared" si="0"/>
        <v>15</v>
      </c>
      <c r="F30" s="14">
        <v>21</v>
      </c>
      <c r="G30" s="15" t="s">
        <v>33</v>
      </c>
      <c r="H30" s="18">
        <f t="shared" si="1"/>
        <v>6</v>
      </c>
      <c r="I30" s="17">
        <f t="shared" si="2"/>
        <v>15</v>
      </c>
    </row>
    <row r="31" spans="1:9" ht="15.75" customHeight="1">
      <c r="A31" s="14">
        <v>22</v>
      </c>
      <c r="B31" s="15" t="s">
        <v>34</v>
      </c>
      <c r="C31" s="16">
        <v>22</v>
      </c>
      <c r="D31" s="17">
        <f t="shared" si="0"/>
        <v>55</v>
      </c>
      <c r="F31" s="14">
        <v>22</v>
      </c>
      <c r="G31" s="15" t="s">
        <v>34</v>
      </c>
      <c r="H31" s="18">
        <f t="shared" si="1"/>
        <v>22</v>
      </c>
      <c r="I31" s="17">
        <f t="shared" si="2"/>
        <v>55</v>
      </c>
    </row>
    <row r="32" spans="1:9" ht="15.75" customHeight="1">
      <c r="A32" s="14">
        <v>23</v>
      </c>
      <c r="B32" s="15" t="s">
        <v>35</v>
      </c>
      <c r="C32" s="16">
        <v>29</v>
      </c>
      <c r="D32" s="17">
        <f t="shared" si="0"/>
        <v>73</v>
      </c>
      <c r="F32" s="14">
        <v>23</v>
      </c>
      <c r="G32" s="15" t="s">
        <v>35</v>
      </c>
      <c r="H32" s="18">
        <f t="shared" si="1"/>
        <v>29</v>
      </c>
      <c r="I32" s="17">
        <f t="shared" si="2"/>
        <v>73</v>
      </c>
    </row>
    <row r="33" spans="1:9" ht="15.75" customHeight="1">
      <c r="A33" s="14">
        <v>24</v>
      </c>
      <c r="B33" s="15" t="s">
        <v>36</v>
      </c>
      <c r="C33" s="16">
        <v>37</v>
      </c>
      <c r="D33" s="17">
        <f t="shared" si="0"/>
        <v>93</v>
      </c>
      <c r="F33" s="14">
        <v>24</v>
      </c>
      <c r="G33" s="15" t="s">
        <v>36</v>
      </c>
      <c r="H33" s="18">
        <f t="shared" si="1"/>
        <v>37</v>
      </c>
      <c r="I33" s="17">
        <f t="shared" si="2"/>
        <v>93</v>
      </c>
    </row>
    <row r="34" spans="1:9" ht="15.75" customHeight="1">
      <c r="A34" s="14">
        <v>25</v>
      </c>
      <c r="B34" s="15" t="s">
        <v>37</v>
      </c>
      <c r="C34" s="16">
        <v>10</v>
      </c>
      <c r="D34" s="17">
        <f t="shared" si="0"/>
        <v>25</v>
      </c>
      <c r="F34" s="14">
        <v>25</v>
      </c>
      <c r="G34" s="15" t="s">
        <v>37</v>
      </c>
      <c r="H34" s="18">
        <f t="shared" si="1"/>
        <v>10</v>
      </c>
      <c r="I34" s="17">
        <f t="shared" si="2"/>
        <v>25</v>
      </c>
    </row>
    <row r="35" spans="1:9" ht="15.75" customHeight="1">
      <c r="A35" s="14">
        <v>26</v>
      </c>
      <c r="B35" s="15" t="s">
        <v>38</v>
      </c>
      <c r="C35" s="16">
        <v>14</v>
      </c>
      <c r="D35" s="17">
        <f t="shared" si="0"/>
        <v>35</v>
      </c>
      <c r="F35" s="14">
        <v>26</v>
      </c>
      <c r="G35" s="15" t="s">
        <v>38</v>
      </c>
      <c r="H35" s="18">
        <f t="shared" si="1"/>
        <v>14</v>
      </c>
      <c r="I35" s="17">
        <f t="shared" si="2"/>
        <v>35</v>
      </c>
    </row>
    <row r="36" spans="1:9" ht="15.75" customHeight="1">
      <c r="A36" s="14">
        <v>27</v>
      </c>
      <c r="B36" s="15" t="s">
        <v>39</v>
      </c>
      <c r="C36" s="16">
        <v>3</v>
      </c>
      <c r="D36" s="17">
        <f t="shared" si="0"/>
        <v>8</v>
      </c>
      <c r="F36" s="14">
        <v>27</v>
      </c>
      <c r="G36" s="15" t="s">
        <v>39</v>
      </c>
      <c r="H36" s="18">
        <f t="shared" si="1"/>
        <v>3</v>
      </c>
      <c r="I36" s="17">
        <f t="shared" si="2"/>
        <v>8</v>
      </c>
    </row>
    <row r="37" spans="1:9" ht="15.75" customHeight="1">
      <c r="A37" s="14">
        <v>28</v>
      </c>
      <c r="B37" s="15" t="s">
        <v>40</v>
      </c>
      <c r="C37" s="19">
        <v>28</v>
      </c>
      <c r="D37" s="17">
        <f t="shared" si="0"/>
        <v>70</v>
      </c>
      <c r="F37" s="14">
        <v>28</v>
      </c>
      <c r="G37" s="15" t="s">
        <v>40</v>
      </c>
      <c r="H37" s="18">
        <f t="shared" si="1"/>
        <v>28</v>
      </c>
      <c r="I37" s="17">
        <f t="shared" si="2"/>
        <v>70</v>
      </c>
    </row>
    <row r="38" spans="1:9" ht="15.75" customHeight="1">
      <c r="A38" s="14">
        <v>29</v>
      </c>
      <c r="B38" s="15" t="s">
        <v>41</v>
      </c>
      <c r="C38" s="16">
        <v>5</v>
      </c>
      <c r="D38" s="17">
        <f t="shared" si="0"/>
        <v>13</v>
      </c>
      <c r="F38" s="14">
        <v>29</v>
      </c>
      <c r="G38" s="15" t="s">
        <v>41</v>
      </c>
      <c r="H38" s="18">
        <f t="shared" si="1"/>
        <v>5</v>
      </c>
      <c r="I38" s="17">
        <f t="shared" si="2"/>
        <v>13</v>
      </c>
    </row>
    <row r="39" spans="1:9" ht="15.75" customHeight="1">
      <c r="A39" s="14">
        <v>30</v>
      </c>
      <c r="B39" s="15" t="s">
        <v>42</v>
      </c>
      <c r="C39" s="16">
        <v>6</v>
      </c>
      <c r="D39" s="17">
        <f t="shared" si="0"/>
        <v>15</v>
      </c>
      <c r="F39" s="14">
        <v>30</v>
      </c>
      <c r="G39" s="15" t="s">
        <v>42</v>
      </c>
      <c r="H39" s="18">
        <f t="shared" si="1"/>
        <v>6</v>
      </c>
      <c r="I39" s="17">
        <f t="shared" si="2"/>
        <v>15</v>
      </c>
    </row>
    <row r="40" spans="1:9" ht="15.75" customHeight="1">
      <c r="A40" s="14">
        <v>31</v>
      </c>
      <c r="B40" s="15" t="s">
        <v>43</v>
      </c>
      <c r="C40" s="16">
        <v>32</v>
      </c>
      <c r="D40" s="17">
        <f t="shared" si="0"/>
        <v>80</v>
      </c>
      <c r="F40" s="14">
        <v>31</v>
      </c>
      <c r="G40" s="15" t="s">
        <v>43</v>
      </c>
      <c r="H40" s="18">
        <f t="shared" si="1"/>
        <v>32</v>
      </c>
      <c r="I40" s="17">
        <f t="shared" si="2"/>
        <v>80</v>
      </c>
    </row>
    <row r="41" spans="1:9" ht="15.75" customHeight="1">
      <c r="A41" s="14">
        <v>32</v>
      </c>
      <c r="B41" s="15" t="s">
        <v>44</v>
      </c>
      <c r="C41" s="16">
        <v>25</v>
      </c>
      <c r="D41" s="17">
        <f t="shared" si="0"/>
        <v>63</v>
      </c>
      <c r="F41" s="14">
        <v>32</v>
      </c>
      <c r="G41" s="15" t="s">
        <v>44</v>
      </c>
      <c r="H41" s="18">
        <f t="shared" si="1"/>
        <v>25</v>
      </c>
      <c r="I41" s="17">
        <f t="shared" si="2"/>
        <v>63</v>
      </c>
    </row>
    <row r="42" spans="1:9" ht="15.75" customHeight="1">
      <c r="A42" s="14">
        <v>33</v>
      </c>
      <c r="B42" s="15" t="s">
        <v>45</v>
      </c>
      <c r="C42" s="19">
        <v>10</v>
      </c>
      <c r="D42" s="17">
        <f t="shared" si="0"/>
        <v>25</v>
      </c>
      <c r="F42" s="14">
        <v>33</v>
      </c>
      <c r="G42" s="15" t="s">
        <v>45</v>
      </c>
      <c r="H42" s="18">
        <f t="shared" si="1"/>
        <v>10</v>
      </c>
      <c r="I42" s="17">
        <f t="shared" si="2"/>
        <v>25</v>
      </c>
    </row>
    <row r="43" spans="1:9" ht="15.75" customHeight="1">
      <c r="A43" s="20">
        <v>34</v>
      </c>
      <c r="B43" s="21" t="s">
        <v>46</v>
      </c>
      <c r="C43" s="22">
        <v>19</v>
      </c>
      <c r="D43" s="23">
        <f t="shared" si="0"/>
        <v>48</v>
      </c>
      <c r="F43" s="20">
        <v>34</v>
      </c>
      <c r="G43" s="21" t="s">
        <v>46</v>
      </c>
      <c r="H43" s="24">
        <f t="shared" si="1"/>
        <v>19</v>
      </c>
      <c r="I43" s="23">
        <f t="shared" si="2"/>
        <v>48</v>
      </c>
    </row>
    <row r="44" spans="1:9" ht="15.75" customHeight="1">
      <c r="A44" s="14">
        <v>35</v>
      </c>
      <c r="B44" s="15" t="s">
        <v>47</v>
      </c>
      <c r="C44" s="16">
        <v>15</v>
      </c>
      <c r="D44" s="17">
        <f t="shared" si="0"/>
        <v>38</v>
      </c>
      <c r="E44" s="25"/>
      <c r="F44" s="14">
        <v>35</v>
      </c>
      <c r="G44" s="15" t="s">
        <v>47</v>
      </c>
      <c r="H44" s="18">
        <f t="shared" si="1"/>
        <v>15</v>
      </c>
      <c r="I44" s="17">
        <f t="shared" si="2"/>
        <v>38</v>
      </c>
    </row>
    <row r="45" spans="1:9" ht="15.75" customHeight="1">
      <c r="A45" s="14">
        <v>36</v>
      </c>
      <c r="B45" s="15" t="s">
        <v>48</v>
      </c>
      <c r="C45" s="16">
        <v>26</v>
      </c>
      <c r="D45" s="17">
        <f t="shared" si="0"/>
        <v>65</v>
      </c>
      <c r="E45" s="25"/>
      <c r="F45" s="14">
        <v>36</v>
      </c>
      <c r="G45" s="15" t="s">
        <v>48</v>
      </c>
      <c r="H45" s="18">
        <f t="shared" si="1"/>
        <v>26</v>
      </c>
      <c r="I45" s="17">
        <f t="shared" si="2"/>
        <v>65</v>
      </c>
    </row>
    <row r="46" spans="1:9" ht="15.75" customHeight="1">
      <c r="A46" s="14">
        <v>37</v>
      </c>
      <c r="B46" s="15" t="s">
        <v>49</v>
      </c>
      <c r="C46" s="16">
        <v>9</v>
      </c>
      <c r="D46" s="17">
        <f t="shared" si="0"/>
        <v>23</v>
      </c>
      <c r="E46" s="25"/>
      <c r="F46" s="14">
        <v>37</v>
      </c>
      <c r="G46" s="15" t="s">
        <v>49</v>
      </c>
      <c r="H46" s="18">
        <f t="shared" si="1"/>
        <v>9</v>
      </c>
      <c r="I46" s="17">
        <f t="shared" si="2"/>
        <v>23</v>
      </c>
    </row>
    <row r="47" spans="1:9" ht="15.75" customHeight="1">
      <c r="A47" s="14">
        <v>38</v>
      </c>
      <c r="B47" s="15" t="s">
        <v>50</v>
      </c>
      <c r="C47" s="16">
        <v>7</v>
      </c>
      <c r="D47" s="17">
        <f t="shared" si="0"/>
        <v>18</v>
      </c>
      <c r="E47" s="25"/>
      <c r="F47" s="14">
        <v>38</v>
      </c>
      <c r="G47" s="15" t="s">
        <v>50</v>
      </c>
      <c r="H47" s="18">
        <f t="shared" si="1"/>
        <v>7</v>
      </c>
      <c r="I47" s="17">
        <f t="shared" si="2"/>
        <v>18</v>
      </c>
    </row>
    <row r="48" spans="1:9" ht="15.75" customHeight="1">
      <c r="A48" s="14">
        <v>39</v>
      </c>
      <c r="B48" s="15" t="s">
        <v>51</v>
      </c>
      <c r="C48" s="16">
        <v>30</v>
      </c>
      <c r="D48" s="17">
        <f t="shared" si="0"/>
        <v>75</v>
      </c>
      <c r="E48" s="25"/>
      <c r="F48" s="14">
        <v>39</v>
      </c>
      <c r="G48" s="15" t="s">
        <v>51</v>
      </c>
      <c r="H48" s="18">
        <f t="shared" si="1"/>
        <v>30</v>
      </c>
      <c r="I48" s="17">
        <f t="shared" si="2"/>
        <v>75</v>
      </c>
    </row>
    <row r="49" spans="1:9" ht="15.75" customHeight="1">
      <c r="A49" s="14">
        <v>40</v>
      </c>
      <c r="B49" s="15" t="s">
        <v>52</v>
      </c>
      <c r="C49" s="16">
        <v>18</v>
      </c>
      <c r="D49" s="17">
        <f t="shared" si="0"/>
        <v>45</v>
      </c>
      <c r="E49" s="25"/>
      <c r="F49" s="14">
        <v>40</v>
      </c>
      <c r="G49" s="15" t="s">
        <v>52</v>
      </c>
      <c r="H49" s="18">
        <f t="shared" si="1"/>
        <v>18</v>
      </c>
      <c r="I49" s="17">
        <f t="shared" si="2"/>
        <v>45</v>
      </c>
    </row>
    <row r="50" spans="1:9" ht="15.75" customHeight="1">
      <c r="A50" s="14">
        <v>41</v>
      </c>
      <c r="B50" s="15" t="s">
        <v>53</v>
      </c>
      <c r="C50" s="16">
        <v>15</v>
      </c>
      <c r="D50" s="17">
        <f t="shared" si="0"/>
        <v>38</v>
      </c>
      <c r="E50" s="25"/>
      <c r="F50" s="14">
        <v>41</v>
      </c>
      <c r="G50" s="15" t="s">
        <v>53</v>
      </c>
      <c r="H50" s="18">
        <f t="shared" si="1"/>
        <v>15</v>
      </c>
      <c r="I50" s="17">
        <f t="shared" si="2"/>
        <v>38</v>
      </c>
    </row>
    <row r="51" spans="1:9" ht="15.75" customHeight="1">
      <c r="A51" s="26">
        <v>42</v>
      </c>
      <c r="B51" s="27" t="s">
        <v>54</v>
      </c>
      <c r="C51" s="19">
        <v>16</v>
      </c>
      <c r="D51" s="37">
        <f t="shared" si="0"/>
        <v>40</v>
      </c>
      <c r="E51" s="25"/>
      <c r="F51" s="14">
        <v>42</v>
      </c>
      <c r="G51" s="27" t="s">
        <v>54</v>
      </c>
      <c r="H51" s="29">
        <f t="shared" si="1"/>
        <v>16</v>
      </c>
      <c r="I51" s="37">
        <f t="shared" si="2"/>
        <v>40</v>
      </c>
    </row>
    <row r="52" spans="1:9" ht="15.75" customHeight="1">
      <c r="A52" s="26"/>
      <c r="B52" s="28"/>
      <c r="C52" s="29"/>
      <c r="D52" s="37"/>
      <c r="E52" s="25"/>
      <c r="F52" s="14"/>
      <c r="G52" s="28"/>
      <c r="H52" s="29"/>
      <c r="I52" s="38"/>
    </row>
    <row r="53" spans="1:9" ht="15.75" customHeight="1">
      <c r="A53" s="26"/>
      <c r="B53" s="27"/>
      <c r="C53" s="29"/>
      <c r="D53" s="37"/>
      <c r="E53" s="25"/>
      <c r="F53" s="14"/>
      <c r="G53" s="27"/>
      <c r="H53" s="29"/>
      <c r="I53" s="38"/>
    </row>
    <row r="54" spans="1:9" ht="15.75" customHeight="1">
      <c r="A54" s="26"/>
      <c r="B54" s="27"/>
      <c r="C54" s="29"/>
      <c r="D54" s="37"/>
      <c r="E54" s="25"/>
      <c r="F54" s="14"/>
      <c r="G54" s="27"/>
      <c r="H54" s="29"/>
      <c r="I54" s="38"/>
    </row>
    <row r="55" spans="1:9" ht="15.75" customHeight="1">
      <c r="A55" s="26"/>
      <c r="B55" s="27"/>
      <c r="C55" s="29"/>
      <c r="D55" s="37"/>
      <c r="E55" s="25"/>
      <c r="F55" s="14"/>
      <c r="G55" s="27"/>
      <c r="H55" s="27"/>
      <c r="I55" s="38"/>
    </row>
    <row r="56" spans="1:9" ht="15.75" customHeight="1">
      <c r="A56" s="26"/>
      <c r="B56" s="27"/>
      <c r="C56" s="27"/>
      <c r="D56" s="37"/>
      <c r="E56" s="25"/>
      <c r="F56" s="14"/>
      <c r="G56" s="27"/>
      <c r="H56" s="27"/>
      <c r="I56" s="38"/>
    </row>
    <row r="57" spans="1:9" ht="15.75" customHeight="1">
      <c r="A57" s="27"/>
      <c r="B57" s="27"/>
      <c r="C57" s="27"/>
      <c r="D57" s="37"/>
      <c r="E57" s="25"/>
      <c r="F57" s="27"/>
      <c r="G57" s="27"/>
      <c r="H57" s="27"/>
      <c r="I57" s="38"/>
    </row>
    <row r="58" spans="1:9" ht="15.75" customHeight="1">
      <c r="A58" s="8"/>
      <c r="B58" s="8"/>
      <c r="C58" s="8"/>
      <c r="D58" s="30" t="s">
        <v>55</v>
      </c>
      <c r="F58" s="8"/>
      <c r="G58" s="8"/>
      <c r="H58" s="8"/>
      <c r="I58" s="30" t="s">
        <v>55</v>
      </c>
    </row>
    <row r="59" spans="1:9" ht="15.75" customHeight="1">
      <c r="A59" s="78" t="s">
        <v>56</v>
      </c>
      <c r="B59" s="79"/>
      <c r="C59" s="8"/>
      <c r="D59" s="8"/>
      <c r="F59" s="78" t="s">
        <v>56</v>
      </c>
      <c r="G59" s="79"/>
      <c r="H59" s="8"/>
      <c r="I59" s="8"/>
    </row>
    <row r="60" spans="1:9" ht="15.75" customHeight="1">
      <c r="A60" s="31" t="s">
        <v>57</v>
      </c>
      <c r="B60" s="32">
        <f>COUNTIF(D10:D57,"&gt;=90")</f>
        <v>3</v>
      </c>
      <c r="C60" s="30" t="s">
        <v>58</v>
      </c>
      <c r="D60" s="34">
        <f>COUNT(C10:C57)</f>
        <v>42</v>
      </c>
      <c r="F60" s="31" t="s">
        <v>57</v>
      </c>
      <c r="G60" s="32">
        <f>COUNTIF(I10:I57,"&gt;=90")</f>
        <v>3</v>
      </c>
      <c r="H60" s="30" t="s">
        <v>58</v>
      </c>
      <c r="I60" s="34">
        <f>COUNT(H10:H57)</f>
        <v>42</v>
      </c>
    </row>
    <row r="61" spans="1:9" ht="15.75" customHeight="1">
      <c r="A61" s="31" t="s">
        <v>59</v>
      </c>
      <c r="B61" s="32">
        <f>COUNTIF(D10:D57,"&gt;=75")-B60</f>
        <v>3</v>
      </c>
      <c r="C61" s="30" t="s">
        <v>60</v>
      </c>
      <c r="D61" s="34">
        <f>COUNTIF(D10:D57,"=AB")</f>
        <v>0</v>
      </c>
      <c r="F61" s="31" t="s">
        <v>59</v>
      </c>
      <c r="G61" s="32">
        <f>COUNTIF(I10:I57,"&gt;=75")-G60</f>
        <v>3</v>
      </c>
      <c r="H61" s="30" t="s">
        <v>60</v>
      </c>
      <c r="I61" s="34">
        <f>COUNTIF(I10:I57,"=AB")</f>
        <v>0</v>
      </c>
    </row>
    <row r="62" spans="1:9" ht="15.75" customHeight="1">
      <c r="A62" s="31" t="s">
        <v>61</v>
      </c>
      <c r="B62" s="32">
        <f>COUNTIF(D10:D57,"&gt;=60")-B61-B60</f>
        <v>7</v>
      </c>
      <c r="C62" s="30" t="s">
        <v>62</v>
      </c>
      <c r="D62" s="35">
        <f>COUNTIF(D10:D57,"&gt;=33")</f>
        <v>27</v>
      </c>
      <c r="F62" s="31" t="s">
        <v>61</v>
      </c>
      <c r="G62" s="32">
        <f>COUNTIF(I10:I57,"&gt;=60")-G61-G60</f>
        <v>7</v>
      </c>
      <c r="H62" s="30" t="s">
        <v>62</v>
      </c>
      <c r="I62" s="35">
        <f>COUNTIF(I10:I57,"&gt;=33")</f>
        <v>27</v>
      </c>
    </row>
    <row r="63" spans="1:9" ht="15.75" customHeight="1">
      <c r="A63" s="31" t="s">
        <v>63</v>
      </c>
      <c r="B63" s="32">
        <f>COUNTIF(D10:D57,"&gt;=45")-B62-B61-B60</f>
        <v>7</v>
      </c>
      <c r="C63" s="30" t="s">
        <v>64</v>
      </c>
      <c r="D63" s="34">
        <f>(D62/D60)*100</f>
        <v>64.285714285714292</v>
      </c>
      <c r="F63" s="31" t="s">
        <v>63</v>
      </c>
      <c r="G63" s="32">
        <f>COUNTIF(I10:I57,"&gt;=45")-G62-G61-G60</f>
        <v>7</v>
      </c>
      <c r="H63" s="30" t="s">
        <v>64</v>
      </c>
      <c r="I63" s="34">
        <f>(I62/I60)*100</f>
        <v>64.285714285714292</v>
      </c>
    </row>
    <row r="64" spans="1:9" ht="15.75" customHeight="1">
      <c r="A64" s="31" t="s">
        <v>65</v>
      </c>
      <c r="B64" s="32">
        <f>COUNTIF(D10:D57,"&gt;=33")-B63-B62-B61-B60</f>
        <v>7</v>
      </c>
      <c r="C64" s="8"/>
      <c r="D64" s="8"/>
      <c r="F64" s="31" t="s">
        <v>65</v>
      </c>
      <c r="G64" s="32">
        <f>COUNTIF(I10:I57,"&gt;=33")-G63-G62-G61-G60</f>
        <v>7</v>
      </c>
      <c r="H64" s="8"/>
      <c r="I64" s="8"/>
    </row>
    <row r="65" spans="1:9" ht="15.75" customHeight="1">
      <c r="A65" s="31" t="s">
        <v>66</v>
      </c>
      <c r="B65" s="32">
        <f>COUNTIF(D10:D57,"&lt;33")-COUNTIF(D10:D57,"=0.0")</f>
        <v>15</v>
      </c>
      <c r="C65" s="8"/>
      <c r="D65" s="8"/>
      <c r="F65" s="31" t="s">
        <v>66</v>
      </c>
      <c r="G65" s="32">
        <f>COUNTIF(I10:I57,"&lt;33")-COUNTIF(I10:I57,"=0.0")</f>
        <v>15</v>
      </c>
      <c r="H65" s="8"/>
      <c r="I65" s="8"/>
    </row>
    <row r="66" spans="1:9" ht="15.75" customHeight="1">
      <c r="A66" s="8"/>
      <c r="B66" s="8"/>
      <c r="C66" s="8"/>
      <c r="D66" s="8"/>
      <c r="F66" s="8"/>
      <c r="G66" s="8"/>
      <c r="H66" s="8"/>
      <c r="I66" s="8"/>
    </row>
    <row r="67" spans="1:9" ht="15.75" customHeight="1">
      <c r="A67" s="30" t="s">
        <v>67</v>
      </c>
      <c r="B67" s="8"/>
      <c r="C67" s="8"/>
      <c r="D67" s="36"/>
      <c r="F67" s="30" t="s">
        <v>67</v>
      </c>
      <c r="G67" s="8"/>
      <c r="H67" s="8"/>
      <c r="I67" s="36"/>
    </row>
    <row r="68" spans="1:9" ht="15.75" customHeight="1">
      <c r="A68" s="30" t="s">
        <v>68</v>
      </c>
      <c r="B68" s="8"/>
      <c r="C68" s="8"/>
      <c r="D68" s="30" t="s">
        <v>69</v>
      </c>
      <c r="F68" s="30" t="s">
        <v>68</v>
      </c>
      <c r="G68" s="8"/>
      <c r="H68" s="8"/>
      <c r="I68" s="30" t="s">
        <v>69</v>
      </c>
    </row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B9"/>
    <mergeCell ref="A59:B59"/>
    <mergeCell ref="F59:G59"/>
    <mergeCell ref="A1:D1"/>
    <mergeCell ref="F1:I1"/>
    <mergeCell ref="A2:D2"/>
    <mergeCell ref="F2:I2"/>
    <mergeCell ref="A8:A9"/>
    <mergeCell ref="F8:F9"/>
    <mergeCell ref="G8:G9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I1000"/>
  <sheetViews>
    <sheetView tabSelected="1" topLeftCell="A51" workbookViewId="0">
      <selection sqref="A1:D1"/>
    </sheetView>
  </sheetViews>
  <sheetFormatPr defaultColWidth="12.5703125" defaultRowHeight="15" customHeight="1"/>
  <cols>
    <col min="1" max="1" width="7.7109375" customWidth="1"/>
    <col min="2" max="2" width="27.140625" customWidth="1"/>
    <col min="3" max="3" width="7.140625" customWidth="1"/>
    <col min="4" max="4" width="18.7109375" customWidth="1"/>
    <col min="5" max="5" width="3.5703125" customWidth="1"/>
    <col min="6" max="6" width="8.140625" customWidth="1"/>
    <col min="7" max="7" width="26.42578125" customWidth="1"/>
    <col min="8" max="8" width="8.7109375" customWidth="1"/>
    <col min="9" max="9" width="14.140625" customWidth="1"/>
  </cols>
  <sheetData>
    <row r="1" spans="1:9" ht="27" customHeight="1">
      <c r="A1" s="80" t="s">
        <v>0</v>
      </c>
      <c r="B1" s="81"/>
      <c r="C1" s="81"/>
      <c r="D1" s="81"/>
      <c r="F1" s="80" t="s">
        <v>0</v>
      </c>
      <c r="G1" s="81"/>
      <c r="H1" s="81"/>
      <c r="I1" s="81"/>
    </row>
    <row r="2" spans="1:9" ht="15.75" customHeight="1">
      <c r="A2" s="82" t="s">
        <v>1</v>
      </c>
      <c r="B2" s="81"/>
      <c r="C2" s="81"/>
      <c r="D2" s="81"/>
      <c r="F2" s="82" t="s">
        <v>1</v>
      </c>
      <c r="G2" s="81"/>
      <c r="H2" s="81"/>
      <c r="I2" s="81"/>
    </row>
    <row r="3" spans="1:9" ht="15.75" customHeight="1">
      <c r="B3" s="1" t="s">
        <v>2</v>
      </c>
      <c r="D3" s="2" t="s">
        <v>70</v>
      </c>
      <c r="G3" s="1" t="s">
        <v>2</v>
      </c>
      <c r="I3" s="2" t="s">
        <v>70</v>
      </c>
    </row>
    <row r="4" spans="1:9" ht="15.75" customHeight="1">
      <c r="A4" s="3" t="s">
        <v>4</v>
      </c>
      <c r="B4" s="4"/>
      <c r="C4" s="4"/>
      <c r="F4" s="3" t="s">
        <v>4</v>
      </c>
      <c r="G4" s="4"/>
      <c r="H4" s="4"/>
    </row>
    <row r="5" spans="1:9" ht="15.75" customHeight="1">
      <c r="A5" s="3" t="s">
        <v>83</v>
      </c>
      <c r="B5" s="4"/>
      <c r="C5" s="4"/>
      <c r="F5" s="3" t="s">
        <v>83</v>
      </c>
      <c r="G5" s="4"/>
      <c r="H5" s="4"/>
    </row>
    <row r="6" spans="1:9" ht="15.75" customHeight="1">
      <c r="A6" s="5" t="s">
        <v>7</v>
      </c>
      <c r="B6" s="7"/>
      <c r="C6" s="7"/>
      <c r="D6" s="8"/>
      <c r="F6" s="5" t="s">
        <v>7</v>
      </c>
      <c r="G6" s="7"/>
      <c r="H6" s="7"/>
      <c r="I6" s="8"/>
    </row>
    <row r="7" spans="1:9" ht="15.75" customHeight="1">
      <c r="A7" s="9" t="s">
        <v>8</v>
      </c>
      <c r="B7" s="10"/>
      <c r="C7" s="10"/>
      <c r="F7" s="9" t="s">
        <v>8</v>
      </c>
      <c r="G7" s="10"/>
      <c r="H7" s="10"/>
    </row>
    <row r="8" spans="1:9" ht="15.75" customHeight="1">
      <c r="A8" s="83" t="s">
        <v>9</v>
      </c>
      <c r="B8" s="76" t="s">
        <v>10</v>
      </c>
      <c r="C8" s="11" t="s">
        <v>11</v>
      </c>
      <c r="D8" s="11" t="s">
        <v>12</v>
      </c>
      <c r="F8" s="83" t="s">
        <v>9</v>
      </c>
      <c r="G8" s="76" t="s">
        <v>10</v>
      </c>
      <c r="H8" s="11" t="s">
        <v>11</v>
      </c>
      <c r="I8" s="11" t="s">
        <v>12</v>
      </c>
    </row>
    <row r="9" spans="1:9" ht="15.75" customHeight="1">
      <c r="A9" s="84"/>
      <c r="B9" s="77"/>
      <c r="C9" s="12">
        <v>40</v>
      </c>
      <c r="D9" s="13"/>
      <c r="F9" s="84"/>
      <c r="G9" s="77"/>
      <c r="H9" s="12">
        <v>40</v>
      </c>
      <c r="I9" s="13"/>
    </row>
    <row r="10" spans="1:9" ht="15.75" customHeight="1">
      <c r="A10" s="14">
        <v>1</v>
      </c>
      <c r="B10" s="15" t="s">
        <v>13</v>
      </c>
      <c r="C10" s="16">
        <v>23</v>
      </c>
      <c r="D10" s="17">
        <f t="shared" ref="D10:D51" si="0">IF(UPPER(C10)="AB","AB",ROUND(((C10/C$9)*100),0))</f>
        <v>58</v>
      </c>
      <c r="F10" s="14">
        <v>1</v>
      </c>
      <c r="G10" s="15" t="s">
        <v>13</v>
      </c>
      <c r="H10" s="18">
        <f t="shared" ref="H10:H51" si="1">C10</f>
        <v>23</v>
      </c>
      <c r="I10" s="17">
        <f t="shared" ref="I10:I51" si="2">IF(UPPER(H10)="AB","AB",ROUND(((H10/H$9)*100),0))</f>
        <v>58</v>
      </c>
    </row>
    <row r="11" spans="1:9" ht="15.75" customHeight="1">
      <c r="A11" s="14">
        <v>2</v>
      </c>
      <c r="B11" s="15" t="s">
        <v>14</v>
      </c>
      <c r="C11" s="16">
        <v>20</v>
      </c>
      <c r="D11" s="17">
        <f t="shared" si="0"/>
        <v>50</v>
      </c>
      <c r="F11" s="14">
        <v>2</v>
      </c>
      <c r="G11" s="15" t="s">
        <v>14</v>
      </c>
      <c r="H11" s="18">
        <f t="shared" si="1"/>
        <v>20</v>
      </c>
      <c r="I11" s="17">
        <f t="shared" si="2"/>
        <v>50</v>
      </c>
    </row>
    <row r="12" spans="1:9" ht="15.75" customHeight="1">
      <c r="A12" s="14">
        <v>3</v>
      </c>
      <c r="B12" s="15" t="s">
        <v>15</v>
      </c>
      <c r="C12" s="16">
        <v>32</v>
      </c>
      <c r="D12" s="17">
        <f t="shared" si="0"/>
        <v>80</v>
      </c>
      <c r="F12" s="14">
        <v>3</v>
      </c>
      <c r="G12" s="15" t="s">
        <v>15</v>
      </c>
      <c r="H12" s="18">
        <f t="shared" si="1"/>
        <v>32</v>
      </c>
      <c r="I12" s="17">
        <f t="shared" si="2"/>
        <v>80</v>
      </c>
    </row>
    <row r="13" spans="1:9" ht="15.75" customHeight="1">
      <c r="A13" s="14">
        <v>4</v>
      </c>
      <c r="B13" s="15" t="s">
        <v>16</v>
      </c>
      <c r="C13" s="16">
        <v>34</v>
      </c>
      <c r="D13" s="17">
        <f t="shared" si="0"/>
        <v>85</v>
      </c>
      <c r="F13" s="14">
        <v>4</v>
      </c>
      <c r="G13" s="15" t="s">
        <v>16</v>
      </c>
      <c r="H13" s="18">
        <f t="shared" si="1"/>
        <v>34</v>
      </c>
      <c r="I13" s="17">
        <f t="shared" si="2"/>
        <v>85</v>
      </c>
    </row>
    <row r="14" spans="1:9" ht="15.75" customHeight="1">
      <c r="A14" s="14">
        <v>5</v>
      </c>
      <c r="B14" s="15" t="s">
        <v>17</v>
      </c>
      <c r="C14" s="16">
        <v>29</v>
      </c>
      <c r="D14" s="17">
        <f t="shared" si="0"/>
        <v>73</v>
      </c>
      <c r="F14" s="14">
        <v>5</v>
      </c>
      <c r="G14" s="15" t="s">
        <v>17</v>
      </c>
      <c r="H14" s="18">
        <f t="shared" si="1"/>
        <v>29</v>
      </c>
      <c r="I14" s="17">
        <f t="shared" si="2"/>
        <v>73</v>
      </c>
    </row>
    <row r="15" spans="1:9" ht="15.75" customHeight="1">
      <c r="A15" s="14">
        <v>6</v>
      </c>
      <c r="B15" s="15" t="s">
        <v>18</v>
      </c>
      <c r="C15" s="19">
        <v>34</v>
      </c>
      <c r="D15" s="17">
        <f t="shared" si="0"/>
        <v>85</v>
      </c>
      <c r="F15" s="14">
        <v>6</v>
      </c>
      <c r="G15" s="15" t="s">
        <v>18</v>
      </c>
      <c r="H15" s="18">
        <f t="shared" si="1"/>
        <v>34</v>
      </c>
      <c r="I15" s="17">
        <f t="shared" si="2"/>
        <v>85</v>
      </c>
    </row>
    <row r="16" spans="1:9" ht="15.75" customHeight="1">
      <c r="A16" s="14">
        <v>7</v>
      </c>
      <c r="B16" s="15" t="s">
        <v>19</v>
      </c>
      <c r="C16" s="19">
        <v>40</v>
      </c>
      <c r="D16" s="17">
        <f t="shared" si="0"/>
        <v>100</v>
      </c>
      <c r="F16" s="14">
        <v>7</v>
      </c>
      <c r="G16" s="15" t="s">
        <v>19</v>
      </c>
      <c r="H16" s="18">
        <f t="shared" si="1"/>
        <v>40</v>
      </c>
      <c r="I16" s="17">
        <f t="shared" si="2"/>
        <v>100</v>
      </c>
    </row>
    <row r="17" spans="1:9" ht="15.75" customHeight="1">
      <c r="A17" s="14">
        <v>8</v>
      </c>
      <c r="B17" s="15" t="s">
        <v>20</v>
      </c>
      <c r="C17" s="19">
        <v>13</v>
      </c>
      <c r="D17" s="17">
        <f t="shared" si="0"/>
        <v>33</v>
      </c>
      <c r="F17" s="14">
        <v>8</v>
      </c>
      <c r="G17" s="15" t="s">
        <v>20</v>
      </c>
      <c r="H17" s="18">
        <f t="shared" si="1"/>
        <v>13</v>
      </c>
      <c r="I17" s="17">
        <f t="shared" si="2"/>
        <v>33</v>
      </c>
    </row>
    <row r="18" spans="1:9" ht="15.75" customHeight="1">
      <c r="A18" s="14">
        <v>9</v>
      </c>
      <c r="B18" s="15" t="s">
        <v>21</v>
      </c>
      <c r="C18" s="19">
        <v>25</v>
      </c>
      <c r="D18" s="17">
        <f t="shared" si="0"/>
        <v>63</v>
      </c>
      <c r="F18" s="14">
        <v>9</v>
      </c>
      <c r="G18" s="15" t="s">
        <v>21</v>
      </c>
      <c r="H18" s="18">
        <f t="shared" si="1"/>
        <v>25</v>
      </c>
      <c r="I18" s="17">
        <f t="shared" si="2"/>
        <v>63</v>
      </c>
    </row>
    <row r="19" spans="1:9" ht="15.75" customHeight="1">
      <c r="A19" s="14">
        <v>10</v>
      </c>
      <c r="B19" s="15" t="s">
        <v>22</v>
      </c>
      <c r="C19" s="19">
        <v>19</v>
      </c>
      <c r="D19" s="17">
        <f t="shared" si="0"/>
        <v>48</v>
      </c>
      <c r="F19" s="14">
        <v>10</v>
      </c>
      <c r="G19" s="15" t="s">
        <v>22</v>
      </c>
      <c r="H19" s="18">
        <f t="shared" si="1"/>
        <v>19</v>
      </c>
      <c r="I19" s="17">
        <f t="shared" si="2"/>
        <v>48</v>
      </c>
    </row>
    <row r="20" spans="1:9" ht="15.75" customHeight="1">
      <c r="A20" s="14">
        <v>11</v>
      </c>
      <c r="B20" s="15" t="s">
        <v>23</v>
      </c>
      <c r="C20" s="16">
        <v>27</v>
      </c>
      <c r="D20" s="17">
        <f t="shared" si="0"/>
        <v>68</v>
      </c>
      <c r="F20" s="14">
        <v>11</v>
      </c>
      <c r="G20" s="15" t="s">
        <v>23</v>
      </c>
      <c r="H20" s="18">
        <f t="shared" si="1"/>
        <v>27</v>
      </c>
      <c r="I20" s="17">
        <f t="shared" si="2"/>
        <v>68</v>
      </c>
    </row>
    <row r="21" spans="1:9" ht="15.75" customHeight="1">
      <c r="A21" s="14">
        <v>12</v>
      </c>
      <c r="B21" s="15" t="s">
        <v>24</v>
      </c>
      <c r="C21" s="16">
        <v>17</v>
      </c>
      <c r="D21" s="17">
        <f t="shared" si="0"/>
        <v>43</v>
      </c>
      <c r="F21" s="14">
        <v>12</v>
      </c>
      <c r="G21" s="15" t="s">
        <v>24</v>
      </c>
      <c r="H21" s="18">
        <f t="shared" si="1"/>
        <v>17</v>
      </c>
      <c r="I21" s="17">
        <f t="shared" si="2"/>
        <v>43</v>
      </c>
    </row>
    <row r="22" spans="1:9" ht="15.75" customHeight="1">
      <c r="A22" s="14">
        <v>13</v>
      </c>
      <c r="B22" s="15" t="s">
        <v>25</v>
      </c>
      <c r="C22" s="19">
        <v>27</v>
      </c>
      <c r="D22" s="17">
        <f t="shared" si="0"/>
        <v>68</v>
      </c>
      <c r="F22" s="14">
        <v>13</v>
      </c>
      <c r="G22" s="15" t="s">
        <v>25</v>
      </c>
      <c r="H22" s="18">
        <f t="shared" si="1"/>
        <v>27</v>
      </c>
      <c r="I22" s="17">
        <f t="shared" si="2"/>
        <v>68</v>
      </c>
    </row>
    <row r="23" spans="1:9" ht="15.75" customHeight="1">
      <c r="A23" s="14">
        <v>14</v>
      </c>
      <c r="B23" s="15" t="s">
        <v>26</v>
      </c>
      <c r="C23" s="16">
        <v>37</v>
      </c>
      <c r="D23" s="17">
        <f t="shared" si="0"/>
        <v>93</v>
      </c>
      <c r="F23" s="14">
        <v>14</v>
      </c>
      <c r="G23" s="15" t="s">
        <v>26</v>
      </c>
      <c r="H23" s="18">
        <f t="shared" si="1"/>
        <v>37</v>
      </c>
      <c r="I23" s="17">
        <f t="shared" si="2"/>
        <v>93</v>
      </c>
    </row>
    <row r="24" spans="1:9" ht="15.75" customHeight="1">
      <c r="A24" s="14">
        <v>15</v>
      </c>
      <c r="B24" s="15" t="s">
        <v>27</v>
      </c>
      <c r="C24" s="19">
        <v>30</v>
      </c>
      <c r="D24" s="17">
        <f t="shared" si="0"/>
        <v>75</v>
      </c>
      <c r="F24" s="14">
        <v>15</v>
      </c>
      <c r="G24" s="15" t="s">
        <v>27</v>
      </c>
      <c r="H24" s="18">
        <f t="shared" si="1"/>
        <v>30</v>
      </c>
      <c r="I24" s="17">
        <f t="shared" si="2"/>
        <v>75</v>
      </c>
    </row>
    <row r="25" spans="1:9" ht="15.75" customHeight="1">
      <c r="A25" s="14">
        <v>16</v>
      </c>
      <c r="B25" s="15" t="s">
        <v>28</v>
      </c>
      <c r="C25" s="19">
        <v>33</v>
      </c>
      <c r="D25" s="17">
        <f t="shared" si="0"/>
        <v>83</v>
      </c>
      <c r="F25" s="14">
        <v>16</v>
      </c>
      <c r="G25" s="15" t="s">
        <v>28</v>
      </c>
      <c r="H25" s="18">
        <f t="shared" si="1"/>
        <v>33</v>
      </c>
      <c r="I25" s="17">
        <f t="shared" si="2"/>
        <v>83</v>
      </c>
    </row>
    <row r="26" spans="1:9" ht="15.75" customHeight="1">
      <c r="A26" s="14">
        <v>17</v>
      </c>
      <c r="B26" s="15" t="s">
        <v>29</v>
      </c>
      <c r="C26" s="19">
        <v>38</v>
      </c>
      <c r="D26" s="17">
        <f t="shared" si="0"/>
        <v>95</v>
      </c>
      <c r="F26" s="14">
        <v>17</v>
      </c>
      <c r="G26" s="15" t="s">
        <v>29</v>
      </c>
      <c r="H26" s="18">
        <f t="shared" si="1"/>
        <v>38</v>
      </c>
      <c r="I26" s="17">
        <f t="shared" si="2"/>
        <v>95</v>
      </c>
    </row>
    <row r="27" spans="1:9" ht="15.75" customHeight="1">
      <c r="A27" s="14">
        <v>18</v>
      </c>
      <c r="B27" s="15" t="s">
        <v>30</v>
      </c>
      <c r="C27" s="16">
        <v>40</v>
      </c>
      <c r="D27" s="17">
        <f t="shared" si="0"/>
        <v>100</v>
      </c>
      <c r="F27" s="14">
        <v>18</v>
      </c>
      <c r="G27" s="15" t="s">
        <v>30</v>
      </c>
      <c r="H27" s="18">
        <f t="shared" si="1"/>
        <v>40</v>
      </c>
      <c r="I27" s="17">
        <f t="shared" si="2"/>
        <v>100</v>
      </c>
    </row>
    <row r="28" spans="1:9" ht="15.75" customHeight="1">
      <c r="A28" s="14">
        <v>19</v>
      </c>
      <c r="B28" s="15" t="s">
        <v>31</v>
      </c>
      <c r="C28" s="16">
        <v>27</v>
      </c>
      <c r="D28" s="17">
        <f t="shared" si="0"/>
        <v>68</v>
      </c>
      <c r="F28" s="14">
        <v>19</v>
      </c>
      <c r="G28" s="15" t="s">
        <v>31</v>
      </c>
      <c r="H28" s="18">
        <f t="shared" si="1"/>
        <v>27</v>
      </c>
      <c r="I28" s="17">
        <f t="shared" si="2"/>
        <v>68</v>
      </c>
    </row>
    <row r="29" spans="1:9" ht="15.75" customHeight="1">
      <c r="A29" s="14">
        <v>20</v>
      </c>
      <c r="B29" s="15" t="s">
        <v>32</v>
      </c>
      <c r="C29" s="16">
        <v>35</v>
      </c>
      <c r="D29" s="17">
        <f t="shared" si="0"/>
        <v>88</v>
      </c>
      <c r="F29" s="14">
        <v>20</v>
      </c>
      <c r="G29" s="15" t="s">
        <v>32</v>
      </c>
      <c r="H29" s="18">
        <f t="shared" si="1"/>
        <v>35</v>
      </c>
      <c r="I29" s="17">
        <f t="shared" si="2"/>
        <v>88</v>
      </c>
    </row>
    <row r="30" spans="1:9" ht="15.75" customHeight="1">
      <c r="A30" s="14">
        <v>21</v>
      </c>
      <c r="B30" s="15" t="s">
        <v>33</v>
      </c>
      <c r="C30" s="16">
        <v>27</v>
      </c>
      <c r="D30" s="17">
        <f t="shared" si="0"/>
        <v>68</v>
      </c>
      <c r="F30" s="14">
        <v>21</v>
      </c>
      <c r="G30" s="15" t="s">
        <v>33</v>
      </c>
      <c r="H30" s="18">
        <f t="shared" si="1"/>
        <v>27</v>
      </c>
      <c r="I30" s="17">
        <f t="shared" si="2"/>
        <v>68</v>
      </c>
    </row>
    <row r="31" spans="1:9" ht="15.75" customHeight="1">
      <c r="A31" s="14">
        <v>22</v>
      </c>
      <c r="B31" s="15" t="s">
        <v>34</v>
      </c>
      <c r="C31" s="16">
        <v>17</v>
      </c>
      <c r="D31" s="17">
        <f t="shared" si="0"/>
        <v>43</v>
      </c>
      <c r="F31" s="14">
        <v>22</v>
      </c>
      <c r="G31" s="15" t="s">
        <v>34</v>
      </c>
      <c r="H31" s="18">
        <f t="shared" si="1"/>
        <v>17</v>
      </c>
      <c r="I31" s="17">
        <f t="shared" si="2"/>
        <v>43</v>
      </c>
    </row>
    <row r="32" spans="1:9" ht="15.75" customHeight="1">
      <c r="A32" s="14">
        <v>23</v>
      </c>
      <c r="B32" s="15" t="s">
        <v>35</v>
      </c>
      <c r="C32" s="16">
        <v>33</v>
      </c>
      <c r="D32" s="17">
        <f t="shared" si="0"/>
        <v>83</v>
      </c>
      <c r="F32" s="14">
        <v>23</v>
      </c>
      <c r="G32" s="15" t="s">
        <v>35</v>
      </c>
      <c r="H32" s="18">
        <f t="shared" si="1"/>
        <v>33</v>
      </c>
      <c r="I32" s="17">
        <f t="shared" si="2"/>
        <v>83</v>
      </c>
    </row>
    <row r="33" spans="1:9" ht="15.75" customHeight="1">
      <c r="A33" s="14">
        <v>24</v>
      </c>
      <c r="B33" s="15" t="s">
        <v>36</v>
      </c>
      <c r="C33" s="16">
        <v>39</v>
      </c>
      <c r="D33" s="17">
        <f t="shared" si="0"/>
        <v>98</v>
      </c>
      <c r="F33" s="14">
        <v>24</v>
      </c>
      <c r="G33" s="15" t="s">
        <v>36</v>
      </c>
      <c r="H33" s="18">
        <f t="shared" si="1"/>
        <v>39</v>
      </c>
      <c r="I33" s="17">
        <f t="shared" si="2"/>
        <v>98</v>
      </c>
    </row>
    <row r="34" spans="1:9" ht="15.75" customHeight="1">
      <c r="A34" s="14">
        <v>25</v>
      </c>
      <c r="B34" s="15" t="s">
        <v>37</v>
      </c>
      <c r="C34" s="16">
        <v>20</v>
      </c>
      <c r="D34" s="17">
        <f t="shared" si="0"/>
        <v>50</v>
      </c>
      <c r="F34" s="14">
        <v>25</v>
      </c>
      <c r="G34" s="15" t="s">
        <v>37</v>
      </c>
      <c r="H34" s="18">
        <f t="shared" si="1"/>
        <v>20</v>
      </c>
      <c r="I34" s="17">
        <f t="shared" si="2"/>
        <v>50</v>
      </c>
    </row>
    <row r="35" spans="1:9" ht="15.75" customHeight="1">
      <c r="A35" s="14">
        <v>26</v>
      </c>
      <c r="B35" s="15" t="s">
        <v>38</v>
      </c>
      <c r="C35" s="16">
        <v>24</v>
      </c>
      <c r="D35" s="17">
        <f t="shared" si="0"/>
        <v>60</v>
      </c>
      <c r="F35" s="14">
        <v>26</v>
      </c>
      <c r="G35" s="15" t="s">
        <v>38</v>
      </c>
      <c r="H35" s="18">
        <f t="shared" si="1"/>
        <v>24</v>
      </c>
      <c r="I35" s="17">
        <f t="shared" si="2"/>
        <v>60</v>
      </c>
    </row>
    <row r="36" spans="1:9" ht="15.75" customHeight="1">
      <c r="A36" s="14">
        <v>27</v>
      </c>
      <c r="B36" s="15" t="s">
        <v>39</v>
      </c>
      <c r="C36" s="16">
        <v>9</v>
      </c>
      <c r="D36" s="17">
        <f t="shared" si="0"/>
        <v>23</v>
      </c>
      <c r="F36" s="14">
        <v>27</v>
      </c>
      <c r="G36" s="15" t="s">
        <v>39</v>
      </c>
      <c r="H36" s="18">
        <f t="shared" si="1"/>
        <v>9</v>
      </c>
      <c r="I36" s="17">
        <f t="shared" si="2"/>
        <v>23</v>
      </c>
    </row>
    <row r="37" spans="1:9" ht="15.75" customHeight="1">
      <c r="A37" s="14">
        <v>28</v>
      </c>
      <c r="B37" s="15" t="s">
        <v>40</v>
      </c>
      <c r="C37" s="19">
        <v>21</v>
      </c>
      <c r="D37" s="17">
        <f t="shared" si="0"/>
        <v>53</v>
      </c>
      <c r="F37" s="14">
        <v>28</v>
      </c>
      <c r="G37" s="15" t="s">
        <v>40</v>
      </c>
      <c r="H37" s="18">
        <f t="shared" si="1"/>
        <v>21</v>
      </c>
      <c r="I37" s="17">
        <f t="shared" si="2"/>
        <v>53</v>
      </c>
    </row>
    <row r="38" spans="1:9" ht="15.75" customHeight="1">
      <c r="A38" s="14">
        <v>29</v>
      </c>
      <c r="B38" s="15" t="s">
        <v>41</v>
      </c>
      <c r="C38" s="16">
        <v>4</v>
      </c>
      <c r="D38" s="17">
        <f t="shared" si="0"/>
        <v>10</v>
      </c>
      <c r="F38" s="14">
        <v>29</v>
      </c>
      <c r="G38" s="15" t="s">
        <v>41</v>
      </c>
      <c r="H38" s="18">
        <f t="shared" si="1"/>
        <v>4</v>
      </c>
      <c r="I38" s="17">
        <f t="shared" si="2"/>
        <v>10</v>
      </c>
    </row>
    <row r="39" spans="1:9" ht="15.75" customHeight="1">
      <c r="A39" s="14">
        <v>30</v>
      </c>
      <c r="B39" s="15" t="s">
        <v>42</v>
      </c>
      <c r="C39" s="16">
        <v>4</v>
      </c>
      <c r="D39" s="17">
        <f t="shared" si="0"/>
        <v>10</v>
      </c>
      <c r="F39" s="14">
        <v>30</v>
      </c>
      <c r="G39" s="15" t="s">
        <v>42</v>
      </c>
      <c r="H39" s="18">
        <f t="shared" si="1"/>
        <v>4</v>
      </c>
      <c r="I39" s="17">
        <f t="shared" si="2"/>
        <v>10</v>
      </c>
    </row>
    <row r="40" spans="1:9" ht="15.75" customHeight="1">
      <c r="A40" s="14">
        <v>31</v>
      </c>
      <c r="B40" s="15" t="s">
        <v>43</v>
      </c>
      <c r="C40" s="16">
        <v>25</v>
      </c>
      <c r="D40" s="17">
        <f t="shared" si="0"/>
        <v>63</v>
      </c>
      <c r="F40" s="14">
        <v>31</v>
      </c>
      <c r="G40" s="15" t="s">
        <v>43</v>
      </c>
      <c r="H40" s="18">
        <f t="shared" si="1"/>
        <v>25</v>
      </c>
      <c r="I40" s="17">
        <f t="shared" si="2"/>
        <v>63</v>
      </c>
    </row>
    <row r="41" spans="1:9" ht="15.75" customHeight="1">
      <c r="A41" s="14">
        <v>32</v>
      </c>
      <c r="B41" s="15" t="s">
        <v>44</v>
      </c>
      <c r="C41" s="16">
        <v>22</v>
      </c>
      <c r="D41" s="17">
        <f t="shared" si="0"/>
        <v>55</v>
      </c>
      <c r="F41" s="14">
        <v>32</v>
      </c>
      <c r="G41" s="15" t="s">
        <v>44</v>
      </c>
      <c r="H41" s="18">
        <f t="shared" si="1"/>
        <v>22</v>
      </c>
      <c r="I41" s="17">
        <f t="shared" si="2"/>
        <v>55</v>
      </c>
    </row>
    <row r="42" spans="1:9" ht="15.75" customHeight="1">
      <c r="A42" s="14">
        <v>33</v>
      </c>
      <c r="B42" s="15" t="s">
        <v>45</v>
      </c>
      <c r="C42" s="19">
        <v>18</v>
      </c>
      <c r="D42" s="17">
        <f t="shared" si="0"/>
        <v>45</v>
      </c>
      <c r="F42" s="14">
        <v>33</v>
      </c>
      <c r="G42" s="15" t="s">
        <v>45</v>
      </c>
      <c r="H42" s="18">
        <f t="shared" si="1"/>
        <v>18</v>
      </c>
      <c r="I42" s="17">
        <f t="shared" si="2"/>
        <v>45</v>
      </c>
    </row>
    <row r="43" spans="1:9" ht="15.75" customHeight="1">
      <c r="A43" s="20">
        <v>34</v>
      </c>
      <c r="B43" s="21" t="s">
        <v>46</v>
      </c>
      <c r="C43" s="22">
        <v>15</v>
      </c>
      <c r="D43" s="23">
        <f t="shared" si="0"/>
        <v>38</v>
      </c>
      <c r="F43" s="20">
        <v>34</v>
      </c>
      <c r="G43" s="21" t="s">
        <v>46</v>
      </c>
      <c r="H43" s="24">
        <f t="shared" si="1"/>
        <v>15</v>
      </c>
      <c r="I43" s="23">
        <f t="shared" si="2"/>
        <v>38</v>
      </c>
    </row>
    <row r="44" spans="1:9" ht="15.75" customHeight="1">
      <c r="A44" s="14">
        <v>35</v>
      </c>
      <c r="B44" s="15" t="s">
        <v>47</v>
      </c>
      <c r="C44" s="16">
        <v>16</v>
      </c>
      <c r="D44" s="17">
        <f t="shared" si="0"/>
        <v>40</v>
      </c>
      <c r="E44" s="25"/>
      <c r="F44" s="14">
        <v>35</v>
      </c>
      <c r="G44" s="15" t="s">
        <v>47</v>
      </c>
      <c r="H44" s="18">
        <f t="shared" si="1"/>
        <v>16</v>
      </c>
      <c r="I44" s="17">
        <f t="shared" si="2"/>
        <v>40</v>
      </c>
    </row>
    <row r="45" spans="1:9" ht="15.75" customHeight="1">
      <c r="A45" s="14">
        <v>36</v>
      </c>
      <c r="B45" s="15" t="s">
        <v>48</v>
      </c>
      <c r="C45" s="16">
        <v>18</v>
      </c>
      <c r="D45" s="17">
        <f t="shared" si="0"/>
        <v>45</v>
      </c>
      <c r="E45" s="25"/>
      <c r="F45" s="14">
        <v>36</v>
      </c>
      <c r="G45" s="15" t="s">
        <v>48</v>
      </c>
      <c r="H45" s="18">
        <f t="shared" si="1"/>
        <v>18</v>
      </c>
      <c r="I45" s="17">
        <f t="shared" si="2"/>
        <v>45</v>
      </c>
    </row>
    <row r="46" spans="1:9" ht="15.75" customHeight="1">
      <c r="A46" s="14">
        <v>37</v>
      </c>
      <c r="B46" s="15" t="s">
        <v>49</v>
      </c>
      <c r="C46" s="16">
        <v>30</v>
      </c>
      <c r="D46" s="17">
        <f t="shared" si="0"/>
        <v>75</v>
      </c>
      <c r="E46" s="25"/>
      <c r="F46" s="14">
        <v>37</v>
      </c>
      <c r="G46" s="15" t="s">
        <v>49</v>
      </c>
      <c r="H46" s="18">
        <f t="shared" si="1"/>
        <v>30</v>
      </c>
      <c r="I46" s="17">
        <f t="shared" si="2"/>
        <v>75</v>
      </c>
    </row>
    <row r="47" spans="1:9" ht="15.75" customHeight="1">
      <c r="A47" s="14">
        <v>38</v>
      </c>
      <c r="B47" s="15" t="s">
        <v>50</v>
      </c>
      <c r="C47" s="16">
        <v>21</v>
      </c>
      <c r="D47" s="23">
        <f t="shared" si="0"/>
        <v>53</v>
      </c>
      <c r="E47" s="25"/>
      <c r="F47" s="14">
        <v>38</v>
      </c>
      <c r="G47" s="15" t="s">
        <v>50</v>
      </c>
      <c r="H47" s="24">
        <f t="shared" si="1"/>
        <v>21</v>
      </c>
      <c r="I47" s="17">
        <f t="shared" si="2"/>
        <v>53</v>
      </c>
    </row>
    <row r="48" spans="1:9" ht="15.75" customHeight="1">
      <c r="A48" s="14">
        <v>39</v>
      </c>
      <c r="B48" s="15" t="s">
        <v>51</v>
      </c>
      <c r="C48" s="16">
        <v>25</v>
      </c>
      <c r="D48" s="17">
        <f t="shared" si="0"/>
        <v>63</v>
      </c>
      <c r="E48" s="25"/>
      <c r="F48" s="14">
        <v>39</v>
      </c>
      <c r="G48" s="15" t="s">
        <v>51</v>
      </c>
      <c r="H48" s="18">
        <f t="shared" si="1"/>
        <v>25</v>
      </c>
      <c r="I48" s="23">
        <f t="shared" si="2"/>
        <v>63</v>
      </c>
    </row>
    <row r="49" spans="1:9" ht="15.75" customHeight="1">
      <c r="A49" s="14">
        <v>40</v>
      </c>
      <c r="B49" s="15" t="s">
        <v>52</v>
      </c>
      <c r="C49" s="16">
        <v>25</v>
      </c>
      <c r="D49" s="17">
        <f t="shared" si="0"/>
        <v>63</v>
      </c>
      <c r="E49" s="25"/>
      <c r="F49" s="14">
        <v>40</v>
      </c>
      <c r="G49" s="15" t="s">
        <v>52</v>
      </c>
      <c r="H49" s="18">
        <f t="shared" si="1"/>
        <v>25</v>
      </c>
      <c r="I49" s="17">
        <f t="shared" si="2"/>
        <v>63</v>
      </c>
    </row>
    <row r="50" spans="1:9" ht="15.75" customHeight="1">
      <c r="A50" s="14">
        <v>41</v>
      </c>
      <c r="B50" s="15" t="s">
        <v>53</v>
      </c>
      <c r="C50" s="16">
        <v>26</v>
      </c>
      <c r="D50" s="17">
        <f t="shared" si="0"/>
        <v>65</v>
      </c>
      <c r="E50" s="25"/>
      <c r="F50" s="14">
        <v>41</v>
      </c>
      <c r="G50" s="15" t="s">
        <v>53</v>
      </c>
      <c r="H50" s="18">
        <f t="shared" si="1"/>
        <v>26</v>
      </c>
      <c r="I50" s="17">
        <f t="shared" si="2"/>
        <v>65</v>
      </c>
    </row>
    <row r="51" spans="1:9" ht="15.75" customHeight="1">
      <c r="A51" s="26">
        <v>42</v>
      </c>
      <c r="B51" s="27" t="s">
        <v>54</v>
      </c>
      <c r="C51" s="19">
        <v>20</v>
      </c>
      <c r="D51" s="23">
        <f t="shared" si="0"/>
        <v>50</v>
      </c>
      <c r="E51" s="25"/>
      <c r="F51" s="14">
        <v>42</v>
      </c>
      <c r="G51" s="27" t="s">
        <v>54</v>
      </c>
      <c r="H51" s="24">
        <f t="shared" si="1"/>
        <v>20</v>
      </c>
      <c r="I51" s="17">
        <f t="shared" si="2"/>
        <v>50</v>
      </c>
    </row>
    <row r="52" spans="1:9" ht="15.75" customHeight="1">
      <c r="A52" s="26"/>
      <c r="B52" s="28"/>
      <c r="C52" s="29"/>
      <c r="D52" s="17"/>
      <c r="E52" s="25"/>
      <c r="F52" s="14"/>
      <c r="G52" s="28"/>
      <c r="H52" s="18"/>
      <c r="I52" s="17"/>
    </row>
    <row r="53" spans="1:9" ht="15.75" customHeight="1">
      <c r="A53" s="26"/>
      <c r="B53" s="27"/>
      <c r="C53" s="29"/>
      <c r="D53" s="17"/>
      <c r="E53" s="25"/>
      <c r="F53" s="14"/>
      <c r="G53" s="27"/>
      <c r="H53" s="18"/>
      <c r="I53" s="23"/>
    </row>
    <row r="54" spans="1:9" ht="15.75" customHeight="1">
      <c r="A54" s="26"/>
      <c r="B54" s="27"/>
      <c r="C54" s="29"/>
      <c r="D54" s="17"/>
      <c r="E54" s="25"/>
      <c r="F54" s="14"/>
      <c r="G54" s="27"/>
      <c r="H54" s="18"/>
      <c r="I54" s="17"/>
    </row>
    <row r="55" spans="1:9" ht="15.75" customHeight="1">
      <c r="A55" s="26"/>
      <c r="B55" s="27"/>
      <c r="C55" s="29"/>
      <c r="D55" s="23"/>
      <c r="E55" s="25"/>
      <c r="F55" s="14"/>
      <c r="G55" s="27"/>
      <c r="H55" s="24"/>
      <c r="I55" s="17"/>
    </row>
    <row r="56" spans="1:9" ht="15.75" customHeight="1">
      <c r="A56" s="26"/>
      <c r="B56" s="27"/>
      <c r="C56" s="29"/>
      <c r="D56" s="17"/>
      <c r="E56" s="25"/>
      <c r="F56" s="14"/>
      <c r="G56" s="27"/>
      <c r="H56" s="18"/>
      <c r="I56" s="17"/>
    </row>
    <row r="57" spans="1:9" ht="15.75" customHeight="1">
      <c r="A57" s="27"/>
      <c r="B57" s="27"/>
      <c r="C57" s="27"/>
      <c r="D57" s="17"/>
      <c r="E57" s="25"/>
      <c r="F57" s="27"/>
      <c r="G57" s="27"/>
      <c r="H57" s="18"/>
      <c r="I57" s="17"/>
    </row>
    <row r="58" spans="1:9" ht="15.75" customHeight="1">
      <c r="A58" s="8"/>
      <c r="B58" s="8"/>
      <c r="C58" s="8"/>
      <c r="D58" s="30" t="s">
        <v>55</v>
      </c>
      <c r="F58" s="8"/>
      <c r="G58" s="8"/>
      <c r="H58" s="8"/>
      <c r="I58" s="30" t="s">
        <v>55</v>
      </c>
    </row>
    <row r="59" spans="1:9" ht="15.75" customHeight="1">
      <c r="A59" s="78" t="s">
        <v>56</v>
      </c>
      <c r="B59" s="79"/>
      <c r="C59" s="8"/>
      <c r="D59" s="8"/>
      <c r="F59" s="78" t="s">
        <v>56</v>
      </c>
      <c r="G59" s="79"/>
      <c r="H59" s="8"/>
      <c r="I59" s="8"/>
    </row>
    <row r="60" spans="1:9" ht="15.75" customHeight="1">
      <c r="A60" s="31" t="s">
        <v>57</v>
      </c>
      <c r="B60" s="32">
        <f>COUNTIF(D10:D57,"&gt;=90")</f>
        <v>5</v>
      </c>
      <c r="C60" s="30" t="s">
        <v>58</v>
      </c>
      <c r="D60" s="34">
        <f>COUNT(C10:C57)</f>
        <v>42</v>
      </c>
      <c r="F60" s="31" t="s">
        <v>57</v>
      </c>
      <c r="G60" s="32">
        <f>COUNTIF(I10:I57,"&gt;=90")</f>
        <v>5</v>
      </c>
      <c r="H60" s="30" t="s">
        <v>58</v>
      </c>
      <c r="I60" s="34">
        <f>COUNT(H10:H57)</f>
        <v>42</v>
      </c>
    </row>
    <row r="61" spans="1:9" ht="15.75" customHeight="1">
      <c r="A61" s="31" t="s">
        <v>59</v>
      </c>
      <c r="B61" s="32">
        <f>COUNTIF(D10:D57,"&gt;=75")-B60</f>
        <v>8</v>
      </c>
      <c r="C61" s="30" t="s">
        <v>60</v>
      </c>
      <c r="D61" s="34">
        <f>COUNTIF(D10:D57,"=AB")</f>
        <v>0</v>
      </c>
      <c r="F61" s="31" t="s">
        <v>59</v>
      </c>
      <c r="G61" s="32">
        <f>COUNTIF(I10:I57,"&gt;=75")-G60</f>
        <v>8</v>
      </c>
      <c r="H61" s="30" t="s">
        <v>60</v>
      </c>
      <c r="I61" s="34">
        <f>COUNTIF(I10:I57,"=AB")</f>
        <v>0</v>
      </c>
    </row>
    <row r="62" spans="1:9" ht="15.75" customHeight="1">
      <c r="A62" s="31" t="s">
        <v>61</v>
      </c>
      <c r="B62" s="32">
        <f>COUNTIF(D10:D57,"&gt;=60")-B61-B60</f>
        <v>11</v>
      </c>
      <c r="C62" s="30" t="s">
        <v>62</v>
      </c>
      <c r="D62" s="35">
        <f>COUNTIF(D10:D57,"&gt;=33")</f>
        <v>39</v>
      </c>
      <c r="F62" s="31" t="s">
        <v>61</v>
      </c>
      <c r="G62" s="32">
        <f>COUNTIF(I10:I57,"&gt;=60")-G61-G60</f>
        <v>11</v>
      </c>
      <c r="H62" s="30" t="s">
        <v>62</v>
      </c>
      <c r="I62" s="35">
        <f>COUNTIF(I10:I57,"&gt;=33")</f>
        <v>39</v>
      </c>
    </row>
    <row r="63" spans="1:9" ht="15.75" customHeight="1">
      <c r="A63" s="31" t="s">
        <v>63</v>
      </c>
      <c r="B63" s="32">
        <f>COUNTIF(D10:D57,"&gt;=45")-B62-B61-B60</f>
        <v>10</v>
      </c>
      <c r="C63" s="30" t="s">
        <v>64</v>
      </c>
      <c r="D63" s="34">
        <f>(D62/D60)*100</f>
        <v>92.857142857142861</v>
      </c>
      <c r="F63" s="31" t="s">
        <v>63</v>
      </c>
      <c r="G63" s="32">
        <f>COUNTIF(I10:I57,"&gt;=45")-G62-G61-G60</f>
        <v>10</v>
      </c>
      <c r="H63" s="30" t="s">
        <v>64</v>
      </c>
      <c r="I63" s="34">
        <f>(I62/I60)*100</f>
        <v>92.857142857142861</v>
      </c>
    </row>
    <row r="64" spans="1:9" ht="15.75" customHeight="1">
      <c r="A64" s="31" t="s">
        <v>65</v>
      </c>
      <c r="B64" s="32">
        <f>COUNTIF(D10:D57,"&gt;=33")-B63-B62-B61-B60</f>
        <v>5</v>
      </c>
      <c r="C64" s="8"/>
      <c r="D64" s="8"/>
      <c r="F64" s="31" t="s">
        <v>65</v>
      </c>
      <c r="G64" s="32">
        <f>COUNTIF(I10:I57,"&gt;=33")-G63-G62-G61-G60</f>
        <v>5</v>
      </c>
      <c r="H64" s="8"/>
      <c r="I64" s="8"/>
    </row>
    <row r="65" spans="1:9" ht="15.75" customHeight="1">
      <c r="A65" s="31" t="s">
        <v>66</v>
      </c>
      <c r="B65" s="32">
        <f>COUNTIF(D10:D57,"&lt;33")-COUNTIF(D10:D57,"=0.0")</f>
        <v>3</v>
      </c>
      <c r="C65" s="8"/>
      <c r="D65" s="8"/>
      <c r="F65" s="31" t="s">
        <v>66</v>
      </c>
      <c r="G65" s="32">
        <f>COUNTIF(I10:I57,"&lt;33")-COUNTIF(I10:I57,"=0.0")</f>
        <v>3</v>
      </c>
      <c r="H65" s="8"/>
      <c r="I65" s="8"/>
    </row>
    <row r="66" spans="1:9" ht="15.75" customHeight="1">
      <c r="A66" s="8"/>
      <c r="B66" s="8"/>
      <c r="C66" s="8"/>
      <c r="D66" s="8"/>
      <c r="F66" s="8"/>
      <c r="G66" s="8"/>
      <c r="H66" s="8"/>
      <c r="I66" s="8"/>
    </row>
    <row r="67" spans="1:9" ht="15.75" customHeight="1">
      <c r="A67" s="30" t="s">
        <v>67</v>
      </c>
      <c r="B67" s="8"/>
      <c r="C67" s="8"/>
      <c r="D67" s="36"/>
      <c r="F67" s="30" t="s">
        <v>67</v>
      </c>
      <c r="G67" s="8"/>
      <c r="H67" s="8"/>
      <c r="I67" s="36"/>
    </row>
    <row r="68" spans="1:9" ht="15.75" customHeight="1">
      <c r="A68" s="30" t="s">
        <v>68</v>
      </c>
      <c r="B68" s="8"/>
      <c r="C68" s="8"/>
      <c r="D68" s="30" t="s">
        <v>69</v>
      </c>
      <c r="F68" s="30" t="s">
        <v>68</v>
      </c>
      <c r="G68" s="8"/>
      <c r="H68" s="8"/>
      <c r="I68" s="30" t="s">
        <v>69</v>
      </c>
    </row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B9"/>
    <mergeCell ref="A59:B59"/>
    <mergeCell ref="F59:G59"/>
    <mergeCell ref="A1:D1"/>
    <mergeCell ref="F1:I1"/>
    <mergeCell ref="A2:D2"/>
    <mergeCell ref="F2:I2"/>
    <mergeCell ref="A8:A9"/>
    <mergeCell ref="F8:F9"/>
    <mergeCell ref="G8:G9"/>
  </mergeCell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I1000"/>
  <sheetViews>
    <sheetView workbookViewId="0"/>
  </sheetViews>
  <sheetFormatPr defaultColWidth="12.5703125" defaultRowHeight="15" customHeight="1"/>
  <cols>
    <col min="1" max="1" width="7.7109375" customWidth="1"/>
    <col min="2" max="2" width="27.140625" customWidth="1"/>
    <col min="3" max="3" width="7.140625" customWidth="1"/>
    <col min="4" max="4" width="18.7109375" customWidth="1"/>
    <col min="5" max="5" width="3.5703125" customWidth="1"/>
    <col min="6" max="6" width="8.140625" customWidth="1"/>
    <col min="7" max="7" width="26.42578125" customWidth="1"/>
    <col min="8" max="8" width="8.7109375" customWidth="1"/>
    <col min="9" max="9" width="14.140625" customWidth="1"/>
  </cols>
  <sheetData>
    <row r="1" spans="1:9" ht="28.5" customHeight="1">
      <c r="A1" s="80" t="s">
        <v>0</v>
      </c>
      <c r="B1" s="81"/>
      <c r="C1" s="81"/>
      <c r="D1" s="81"/>
      <c r="F1" s="80" t="s">
        <v>0</v>
      </c>
      <c r="G1" s="81"/>
      <c r="H1" s="81"/>
      <c r="I1" s="81"/>
    </row>
    <row r="2" spans="1:9" ht="15.75" customHeight="1">
      <c r="A2" s="82" t="s">
        <v>1</v>
      </c>
      <c r="B2" s="81"/>
      <c r="C2" s="81"/>
      <c r="D2" s="81"/>
      <c r="F2" s="82" t="s">
        <v>1</v>
      </c>
      <c r="G2" s="81"/>
      <c r="H2" s="81"/>
      <c r="I2" s="81"/>
    </row>
    <row r="3" spans="1:9" ht="15.75" customHeight="1">
      <c r="B3" s="1" t="s">
        <v>2</v>
      </c>
      <c r="D3" s="2" t="s">
        <v>70</v>
      </c>
      <c r="G3" s="1" t="s">
        <v>2</v>
      </c>
      <c r="I3" s="2" t="s">
        <v>70</v>
      </c>
    </row>
    <row r="4" spans="1:9" ht="15.75" customHeight="1">
      <c r="A4" s="3" t="s">
        <v>4</v>
      </c>
      <c r="B4" s="4"/>
      <c r="C4" s="4"/>
      <c r="F4" s="3" t="s">
        <v>4</v>
      </c>
      <c r="G4" s="4"/>
      <c r="H4" s="4"/>
    </row>
    <row r="5" spans="1:9" ht="15.75" customHeight="1">
      <c r="A5" s="3" t="s">
        <v>84</v>
      </c>
      <c r="B5" s="4"/>
      <c r="C5" s="4"/>
      <c r="F5" s="3" t="s">
        <v>84</v>
      </c>
      <c r="G5" s="4"/>
      <c r="H5" s="4"/>
    </row>
    <row r="6" spans="1:9" ht="15.75" customHeight="1">
      <c r="A6" s="9" t="s">
        <v>78</v>
      </c>
      <c r="B6" s="7"/>
      <c r="C6" s="7"/>
      <c r="D6" s="8"/>
      <c r="F6" s="9" t="s">
        <v>78</v>
      </c>
      <c r="G6" s="7"/>
      <c r="H6" s="7"/>
      <c r="I6" s="8"/>
    </row>
    <row r="7" spans="1:9" ht="15.75" customHeight="1">
      <c r="A7" s="5" t="s">
        <v>85</v>
      </c>
      <c r="B7" s="10"/>
      <c r="C7" s="10"/>
      <c r="F7" s="5" t="s">
        <v>85</v>
      </c>
      <c r="G7" s="10"/>
      <c r="H7" s="10"/>
    </row>
    <row r="8" spans="1:9" ht="15.75" customHeight="1">
      <c r="A8" s="83" t="s">
        <v>9</v>
      </c>
      <c r="B8" s="83" t="s">
        <v>10</v>
      </c>
      <c r="C8" s="11" t="s">
        <v>11</v>
      </c>
      <c r="D8" s="11" t="s">
        <v>12</v>
      </c>
      <c r="F8" s="83" t="s">
        <v>9</v>
      </c>
      <c r="G8" s="83" t="s">
        <v>10</v>
      </c>
      <c r="H8" s="11" t="s">
        <v>11</v>
      </c>
      <c r="I8" s="11" t="s">
        <v>12</v>
      </c>
    </row>
    <row r="9" spans="1:9" ht="15.75" customHeight="1">
      <c r="A9" s="84"/>
      <c r="B9" s="84"/>
      <c r="C9" s="12">
        <v>40</v>
      </c>
      <c r="D9" s="13"/>
      <c r="F9" s="84"/>
      <c r="G9" s="84"/>
      <c r="H9" s="12">
        <v>40</v>
      </c>
      <c r="I9" s="13"/>
    </row>
    <row r="10" spans="1:9" ht="15.75" customHeight="1">
      <c r="A10" s="14">
        <v>1</v>
      </c>
      <c r="B10" s="15" t="s">
        <v>13</v>
      </c>
      <c r="C10" s="16">
        <v>28</v>
      </c>
      <c r="D10" s="17">
        <f t="shared" ref="D10:D25" si="0">IF(UPPER(C10)="AB","AB",ROUND(((C10/C$9)*100),0))</f>
        <v>70</v>
      </c>
      <c r="F10" s="14">
        <v>1</v>
      </c>
      <c r="G10" s="15" t="s">
        <v>13</v>
      </c>
      <c r="H10" s="18">
        <f t="shared" ref="H10:H51" si="1">C10</f>
        <v>28</v>
      </c>
      <c r="I10" s="17">
        <f t="shared" ref="I10:I51" si="2">IF(UPPER(H10)="AB","AB",ROUND(((H10/H$9)*100),0))</f>
        <v>70</v>
      </c>
    </row>
    <row r="11" spans="1:9" ht="15.75" customHeight="1">
      <c r="A11" s="14">
        <v>2</v>
      </c>
      <c r="B11" s="15" t="s">
        <v>14</v>
      </c>
      <c r="C11" s="16">
        <v>23</v>
      </c>
      <c r="D11" s="17">
        <f t="shared" si="0"/>
        <v>58</v>
      </c>
      <c r="F11" s="14">
        <v>2</v>
      </c>
      <c r="G11" s="15" t="s">
        <v>14</v>
      </c>
      <c r="H11" s="18">
        <f t="shared" si="1"/>
        <v>23</v>
      </c>
      <c r="I11" s="17">
        <f t="shared" si="2"/>
        <v>58</v>
      </c>
    </row>
    <row r="12" spans="1:9" ht="15.75" customHeight="1">
      <c r="A12" s="14">
        <v>3</v>
      </c>
      <c r="B12" s="15" t="s">
        <v>15</v>
      </c>
      <c r="C12" s="16">
        <v>27</v>
      </c>
      <c r="D12" s="17">
        <f t="shared" si="0"/>
        <v>68</v>
      </c>
      <c r="F12" s="14">
        <v>3</v>
      </c>
      <c r="G12" s="15" t="s">
        <v>15</v>
      </c>
      <c r="H12" s="18">
        <f t="shared" si="1"/>
        <v>27</v>
      </c>
      <c r="I12" s="17">
        <f t="shared" si="2"/>
        <v>68</v>
      </c>
    </row>
    <row r="13" spans="1:9" ht="15.75" customHeight="1">
      <c r="A13" s="14">
        <v>4</v>
      </c>
      <c r="B13" s="15" t="s">
        <v>16</v>
      </c>
      <c r="C13" s="16">
        <v>32</v>
      </c>
      <c r="D13" s="17">
        <f t="shared" si="0"/>
        <v>80</v>
      </c>
      <c r="F13" s="14">
        <v>4</v>
      </c>
      <c r="G13" s="15" t="s">
        <v>16</v>
      </c>
      <c r="H13" s="18">
        <f t="shared" si="1"/>
        <v>32</v>
      </c>
      <c r="I13" s="17">
        <f t="shared" si="2"/>
        <v>80</v>
      </c>
    </row>
    <row r="14" spans="1:9" ht="15.75" customHeight="1">
      <c r="A14" s="14">
        <v>5</v>
      </c>
      <c r="B14" s="15" t="s">
        <v>17</v>
      </c>
      <c r="C14" s="16">
        <v>21</v>
      </c>
      <c r="D14" s="17">
        <f t="shared" si="0"/>
        <v>53</v>
      </c>
      <c r="F14" s="14">
        <v>5</v>
      </c>
      <c r="G14" s="15" t="s">
        <v>17</v>
      </c>
      <c r="H14" s="18">
        <f t="shared" si="1"/>
        <v>21</v>
      </c>
      <c r="I14" s="17">
        <f t="shared" si="2"/>
        <v>53</v>
      </c>
    </row>
    <row r="15" spans="1:9" ht="15.75" customHeight="1">
      <c r="A15" s="14">
        <v>6</v>
      </c>
      <c r="B15" s="15" t="s">
        <v>18</v>
      </c>
      <c r="C15" s="19">
        <v>30</v>
      </c>
      <c r="D15" s="17">
        <f t="shared" si="0"/>
        <v>75</v>
      </c>
      <c r="F15" s="14">
        <v>6</v>
      </c>
      <c r="G15" s="15" t="s">
        <v>18</v>
      </c>
      <c r="H15" s="18">
        <f t="shared" si="1"/>
        <v>30</v>
      </c>
      <c r="I15" s="17">
        <f t="shared" si="2"/>
        <v>75</v>
      </c>
    </row>
    <row r="16" spans="1:9" ht="15.75" customHeight="1">
      <c r="A16" s="14">
        <v>7</v>
      </c>
      <c r="B16" s="15" t="s">
        <v>19</v>
      </c>
      <c r="C16" s="19">
        <v>35</v>
      </c>
      <c r="D16" s="17">
        <f t="shared" si="0"/>
        <v>88</v>
      </c>
      <c r="F16" s="14">
        <v>7</v>
      </c>
      <c r="G16" s="15" t="s">
        <v>19</v>
      </c>
      <c r="H16" s="18">
        <f t="shared" si="1"/>
        <v>35</v>
      </c>
      <c r="I16" s="17">
        <f t="shared" si="2"/>
        <v>88</v>
      </c>
    </row>
    <row r="17" spans="1:9" ht="15.75" customHeight="1">
      <c r="A17" s="14">
        <v>8</v>
      </c>
      <c r="B17" s="15" t="s">
        <v>20</v>
      </c>
      <c r="C17" s="19">
        <v>20</v>
      </c>
      <c r="D17" s="17">
        <f t="shared" si="0"/>
        <v>50</v>
      </c>
      <c r="F17" s="14">
        <v>8</v>
      </c>
      <c r="G17" s="15" t="s">
        <v>20</v>
      </c>
      <c r="H17" s="18">
        <f t="shared" si="1"/>
        <v>20</v>
      </c>
      <c r="I17" s="17">
        <f t="shared" si="2"/>
        <v>50</v>
      </c>
    </row>
    <row r="18" spans="1:9" ht="15.75" customHeight="1">
      <c r="A18" s="14">
        <v>9</v>
      </c>
      <c r="B18" s="15" t="s">
        <v>21</v>
      </c>
      <c r="C18" s="19">
        <v>25</v>
      </c>
      <c r="D18" s="17">
        <f t="shared" si="0"/>
        <v>63</v>
      </c>
      <c r="F18" s="14">
        <v>9</v>
      </c>
      <c r="G18" s="15" t="s">
        <v>21</v>
      </c>
      <c r="H18" s="18">
        <f t="shared" si="1"/>
        <v>25</v>
      </c>
      <c r="I18" s="17">
        <f t="shared" si="2"/>
        <v>63</v>
      </c>
    </row>
    <row r="19" spans="1:9" ht="15.75" customHeight="1">
      <c r="A19" s="14">
        <v>10</v>
      </c>
      <c r="B19" s="15" t="s">
        <v>22</v>
      </c>
      <c r="C19" s="19">
        <v>24</v>
      </c>
      <c r="D19" s="17">
        <f t="shared" si="0"/>
        <v>60</v>
      </c>
      <c r="F19" s="14">
        <v>10</v>
      </c>
      <c r="G19" s="15" t="s">
        <v>22</v>
      </c>
      <c r="H19" s="18">
        <f t="shared" si="1"/>
        <v>24</v>
      </c>
      <c r="I19" s="17">
        <f t="shared" si="2"/>
        <v>60</v>
      </c>
    </row>
    <row r="20" spans="1:9" ht="15.75" customHeight="1">
      <c r="A20" s="14">
        <v>11</v>
      </c>
      <c r="B20" s="15" t="s">
        <v>23</v>
      </c>
      <c r="C20" s="16">
        <v>21</v>
      </c>
      <c r="D20" s="17">
        <f t="shared" si="0"/>
        <v>53</v>
      </c>
      <c r="F20" s="14">
        <v>11</v>
      </c>
      <c r="G20" s="15" t="s">
        <v>23</v>
      </c>
      <c r="H20" s="18">
        <f t="shared" si="1"/>
        <v>21</v>
      </c>
      <c r="I20" s="17">
        <f t="shared" si="2"/>
        <v>53</v>
      </c>
    </row>
    <row r="21" spans="1:9" ht="15.75" customHeight="1">
      <c r="A21" s="14">
        <v>12</v>
      </c>
      <c r="B21" s="15" t="s">
        <v>24</v>
      </c>
      <c r="C21" s="16">
        <v>26</v>
      </c>
      <c r="D21" s="17">
        <f t="shared" si="0"/>
        <v>65</v>
      </c>
      <c r="F21" s="14">
        <v>12</v>
      </c>
      <c r="G21" s="15" t="s">
        <v>24</v>
      </c>
      <c r="H21" s="18">
        <f t="shared" si="1"/>
        <v>26</v>
      </c>
      <c r="I21" s="17">
        <f t="shared" si="2"/>
        <v>65</v>
      </c>
    </row>
    <row r="22" spans="1:9" ht="15.75" customHeight="1">
      <c r="A22" s="14">
        <v>13</v>
      </c>
      <c r="B22" s="15" t="s">
        <v>25</v>
      </c>
      <c r="C22" s="19">
        <v>18</v>
      </c>
      <c r="D22" s="17">
        <f t="shared" si="0"/>
        <v>45</v>
      </c>
      <c r="F22" s="14">
        <v>13</v>
      </c>
      <c r="G22" s="15" t="s">
        <v>25</v>
      </c>
      <c r="H22" s="18">
        <f t="shared" si="1"/>
        <v>18</v>
      </c>
      <c r="I22" s="17">
        <f t="shared" si="2"/>
        <v>45</v>
      </c>
    </row>
    <row r="23" spans="1:9" ht="15.75" customHeight="1">
      <c r="A23" s="14">
        <v>14</v>
      </c>
      <c r="B23" s="15" t="s">
        <v>26</v>
      </c>
      <c r="C23" s="16">
        <v>28</v>
      </c>
      <c r="D23" s="17">
        <f t="shared" si="0"/>
        <v>70</v>
      </c>
      <c r="F23" s="14">
        <v>14</v>
      </c>
      <c r="G23" s="15" t="s">
        <v>26</v>
      </c>
      <c r="H23" s="18">
        <f t="shared" si="1"/>
        <v>28</v>
      </c>
      <c r="I23" s="17">
        <f t="shared" si="2"/>
        <v>70</v>
      </c>
    </row>
    <row r="24" spans="1:9" ht="15.75" customHeight="1">
      <c r="A24" s="14">
        <v>15</v>
      </c>
      <c r="B24" s="15" t="s">
        <v>27</v>
      </c>
      <c r="C24" s="19">
        <v>29</v>
      </c>
      <c r="D24" s="17">
        <f t="shared" si="0"/>
        <v>73</v>
      </c>
      <c r="F24" s="14">
        <v>15</v>
      </c>
      <c r="G24" s="15" t="s">
        <v>27</v>
      </c>
      <c r="H24" s="18">
        <f t="shared" si="1"/>
        <v>29</v>
      </c>
      <c r="I24" s="17">
        <f t="shared" si="2"/>
        <v>73</v>
      </c>
    </row>
    <row r="25" spans="1:9" ht="15.75" customHeight="1">
      <c r="A25" s="14">
        <v>16</v>
      </c>
      <c r="B25" s="15" t="s">
        <v>28</v>
      </c>
      <c r="C25" s="19">
        <v>37</v>
      </c>
      <c r="D25" s="17">
        <f t="shared" si="0"/>
        <v>93</v>
      </c>
      <c r="F25" s="14">
        <v>16</v>
      </c>
      <c r="G25" s="15" t="s">
        <v>28</v>
      </c>
      <c r="H25" s="18">
        <f t="shared" si="1"/>
        <v>37</v>
      </c>
      <c r="I25" s="17">
        <f t="shared" si="2"/>
        <v>93</v>
      </c>
    </row>
    <row r="26" spans="1:9" ht="15.75" customHeight="1">
      <c r="A26" s="14">
        <v>17</v>
      </c>
      <c r="B26" s="15" t="s">
        <v>29</v>
      </c>
      <c r="C26" s="16">
        <v>27</v>
      </c>
      <c r="D26" s="17">
        <f t="shared" ref="D26:D46" si="3">IF(UPPER(C25)="AB","AB",ROUND(((C25/C$9)*100),0))</f>
        <v>93</v>
      </c>
      <c r="F26" s="14">
        <v>17</v>
      </c>
      <c r="G26" s="15" t="s">
        <v>29</v>
      </c>
      <c r="H26" s="18">
        <f t="shared" si="1"/>
        <v>27</v>
      </c>
      <c r="I26" s="17">
        <f t="shared" si="2"/>
        <v>68</v>
      </c>
    </row>
    <row r="27" spans="1:9" ht="15.75" customHeight="1">
      <c r="A27" s="14">
        <v>18</v>
      </c>
      <c r="B27" s="15" t="s">
        <v>30</v>
      </c>
      <c r="C27" s="16">
        <v>35</v>
      </c>
      <c r="D27" s="17">
        <f t="shared" si="3"/>
        <v>68</v>
      </c>
      <c r="F27" s="14">
        <v>18</v>
      </c>
      <c r="G27" s="15" t="s">
        <v>30</v>
      </c>
      <c r="H27" s="18">
        <f t="shared" si="1"/>
        <v>35</v>
      </c>
      <c r="I27" s="17">
        <f t="shared" si="2"/>
        <v>88</v>
      </c>
    </row>
    <row r="28" spans="1:9" ht="15.75" customHeight="1">
      <c r="A28" s="14">
        <v>19</v>
      </c>
      <c r="B28" s="15" t="s">
        <v>31</v>
      </c>
      <c r="C28" s="16">
        <v>32</v>
      </c>
      <c r="D28" s="17">
        <f t="shared" si="3"/>
        <v>88</v>
      </c>
      <c r="F28" s="14">
        <v>19</v>
      </c>
      <c r="G28" s="15" t="s">
        <v>31</v>
      </c>
      <c r="H28" s="18">
        <f t="shared" si="1"/>
        <v>32</v>
      </c>
      <c r="I28" s="17">
        <f t="shared" si="2"/>
        <v>80</v>
      </c>
    </row>
    <row r="29" spans="1:9" ht="15.75" customHeight="1">
      <c r="A29" s="14">
        <v>20</v>
      </c>
      <c r="B29" s="15" t="s">
        <v>32</v>
      </c>
      <c r="C29" s="16">
        <v>35</v>
      </c>
      <c r="D29" s="17">
        <f t="shared" si="3"/>
        <v>80</v>
      </c>
      <c r="F29" s="14">
        <v>20</v>
      </c>
      <c r="G29" s="15" t="s">
        <v>32</v>
      </c>
      <c r="H29" s="18">
        <f t="shared" si="1"/>
        <v>35</v>
      </c>
      <c r="I29" s="17">
        <f t="shared" si="2"/>
        <v>88</v>
      </c>
    </row>
    <row r="30" spans="1:9" ht="15.75" customHeight="1">
      <c r="A30" s="14">
        <v>21</v>
      </c>
      <c r="B30" s="15" t="s">
        <v>33</v>
      </c>
      <c r="C30" s="16">
        <v>26</v>
      </c>
      <c r="D30" s="17">
        <f t="shared" si="3"/>
        <v>88</v>
      </c>
      <c r="F30" s="14">
        <v>21</v>
      </c>
      <c r="G30" s="15" t="s">
        <v>33</v>
      </c>
      <c r="H30" s="18">
        <f t="shared" si="1"/>
        <v>26</v>
      </c>
      <c r="I30" s="17">
        <f t="shared" si="2"/>
        <v>65</v>
      </c>
    </row>
    <row r="31" spans="1:9" ht="15.75" customHeight="1">
      <c r="A31" s="14">
        <v>22</v>
      </c>
      <c r="B31" s="15" t="s">
        <v>34</v>
      </c>
      <c r="C31" s="16">
        <v>34</v>
      </c>
      <c r="D31" s="17">
        <f t="shared" si="3"/>
        <v>65</v>
      </c>
      <c r="F31" s="14">
        <v>22</v>
      </c>
      <c r="G31" s="15" t="s">
        <v>34</v>
      </c>
      <c r="H31" s="18">
        <f t="shared" si="1"/>
        <v>34</v>
      </c>
      <c r="I31" s="17">
        <f t="shared" si="2"/>
        <v>85</v>
      </c>
    </row>
    <row r="32" spans="1:9" ht="15.75" customHeight="1">
      <c r="A32" s="14">
        <v>23</v>
      </c>
      <c r="B32" s="15" t="s">
        <v>35</v>
      </c>
      <c r="C32" s="16">
        <v>30</v>
      </c>
      <c r="D32" s="17">
        <f t="shared" si="3"/>
        <v>85</v>
      </c>
      <c r="F32" s="14">
        <v>23</v>
      </c>
      <c r="G32" s="15" t="s">
        <v>35</v>
      </c>
      <c r="H32" s="18">
        <f t="shared" si="1"/>
        <v>30</v>
      </c>
      <c r="I32" s="17">
        <f t="shared" si="2"/>
        <v>75</v>
      </c>
    </row>
    <row r="33" spans="1:9" ht="15.75" customHeight="1">
      <c r="A33" s="14">
        <v>24</v>
      </c>
      <c r="B33" s="15" t="s">
        <v>36</v>
      </c>
      <c r="C33" s="16">
        <v>31</v>
      </c>
      <c r="D33" s="17">
        <f t="shared" si="3"/>
        <v>75</v>
      </c>
      <c r="F33" s="14">
        <v>24</v>
      </c>
      <c r="G33" s="15" t="s">
        <v>36</v>
      </c>
      <c r="H33" s="18">
        <f t="shared" si="1"/>
        <v>31</v>
      </c>
      <c r="I33" s="17">
        <f t="shared" si="2"/>
        <v>78</v>
      </c>
    </row>
    <row r="34" spans="1:9" ht="15.75" customHeight="1">
      <c r="A34" s="14">
        <v>25</v>
      </c>
      <c r="B34" s="15" t="s">
        <v>37</v>
      </c>
      <c r="C34" s="16">
        <v>36</v>
      </c>
      <c r="D34" s="17">
        <f t="shared" si="3"/>
        <v>78</v>
      </c>
      <c r="F34" s="14">
        <v>25</v>
      </c>
      <c r="G34" s="15" t="s">
        <v>37</v>
      </c>
      <c r="H34" s="18">
        <f t="shared" si="1"/>
        <v>36</v>
      </c>
      <c r="I34" s="17">
        <f t="shared" si="2"/>
        <v>90</v>
      </c>
    </row>
    <row r="35" spans="1:9" ht="15.75" customHeight="1">
      <c r="A35" s="14">
        <v>26</v>
      </c>
      <c r="B35" s="15" t="s">
        <v>38</v>
      </c>
      <c r="C35" s="16">
        <v>34</v>
      </c>
      <c r="D35" s="17">
        <f t="shared" si="3"/>
        <v>90</v>
      </c>
      <c r="F35" s="14">
        <v>26</v>
      </c>
      <c r="G35" s="15" t="s">
        <v>38</v>
      </c>
      <c r="H35" s="18">
        <f t="shared" si="1"/>
        <v>34</v>
      </c>
      <c r="I35" s="17">
        <f t="shared" si="2"/>
        <v>85</v>
      </c>
    </row>
    <row r="36" spans="1:9" ht="15.75" customHeight="1">
      <c r="A36" s="14">
        <v>27</v>
      </c>
      <c r="B36" s="15" t="s">
        <v>39</v>
      </c>
      <c r="C36" s="19">
        <v>24</v>
      </c>
      <c r="D36" s="17">
        <f t="shared" si="3"/>
        <v>85</v>
      </c>
      <c r="F36" s="14">
        <v>27</v>
      </c>
      <c r="G36" s="15" t="s">
        <v>39</v>
      </c>
      <c r="H36" s="18">
        <f t="shared" si="1"/>
        <v>24</v>
      </c>
      <c r="I36" s="17">
        <f t="shared" si="2"/>
        <v>60</v>
      </c>
    </row>
    <row r="37" spans="1:9" ht="15.75" customHeight="1">
      <c r="A37" s="14">
        <v>28</v>
      </c>
      <c r="B37" s="15" t="s">
        <v>40</v>
      </c>
      <c r="C37" s="16">
        <v>29</v>
      </c>
      <c r="D37" s="17">
        <f t="shared" si="3"/>
        <v>60</v>
      </c>
      <c r="F37" s="14">
        <v>28</v>
      </c>
      <c r="G37" s="15" t="s">
        <v>40</v>
      </c>
      <c r="H37" s="18">
        <f t="shared" si="1"/>
        <v>29</v>
      </c>
      <c r="I37" s="17">
        <f t="shared" si="2"/>
        <v>73</v>
      </c>
    </row>
    <row r="38" spans="1:9" ht="15.75" customHeight="1">
      <c r="A38" s="14">
        <v>29</v>
      </c>
      <c r="B38" s="15" t="s">
        <v>41</v>
      </c>
      <c r="C38" s="16">
        <v>17</v>
      </c>
      <c r="D38" s="17">
        <f t="shared" si="3"/>
        <v>73</v>
      </c>
      <c r="F38" s="14">
        <v>29</v>
      </c>
      <c r="G38" s="15" t="s">
        <v>41</v>
      </c>
      <c r="H38" s="18">
        <f t="shared" si="1"/>
        <v>17</v>
      </c>
      <c r="I38" s="17">
        <f t="shared" si="2"/>
        <v>43</v>
      </c>
    </row>
    <row r="39" spans="1:9" ht="15.75" customHeight="1">
      <c r="A39" s="14">
        <v>30</v>
      </c>
      <c r="B39" s="15" t="s">
        <v>42</v>
      </c>
      <c r="C39" s="16">
        <v>27</v>
      </c>
      <c r="D39" s="17">
        <f t="shared" si="3"/>
        <v>43</v>
      </c>
      <c r="F39" s="14">
        <v>30</v>
      </c>
      <c r="G39" s="15" t="s">
        <v>42</v>
      </c>
      <c r="H39" s="18">
        <f t="shared" si="1"/>
        <v>27</v>
      </c>
      <c r="I39" s="17">
        <f t="shared" si="2"/>
        <v>68</v>
      </c>
    </row>
    <row r="40" spans="1:9" ht="15.75" customHeight="1">
      <c r="A40" s="14">
        <v>31</v>
      </c>
      <c r="B40" s="15" t="s">
        <v>43</v>
      </c>
      <c r="C40" s="16">
        <v>26</v>
      </c>
      <c r="D40" s="17">
        <f t="shared" si="3"/>
        <v>68</v>
      </c>
      <c r="F40" s="14">
        <v>31</v>
      </c>
      <c r="G40" s="15" t="s">
        <v>43</v>
      </c>
      <c r="H40" s="18">
        <f t="shared" si="1"/>
        <v>26</v>
      </c>
      <c r="I40" s="17">
        <f t="shared" si="2"/>
        <v>65</v>
      </c>
    </row>
    <row r="41" spans="1:9" ht="15.75" customHeight="1">
      <c r="A41" s="14">
        <v>32</v>
      </c>
      <c r="B41" s="15" t="s">
        <v>44</v>
      </c>
      <c r="C41" s="19">
        <v>31</v>
      </c>
      <c r="D41" s="17">
        <f t="shared" si="3"/>
        <v>65</v>
      </c>
      <c r="F41" s="14">
        <v>32</v>
      </c>
      <c r="G41" s="15" t="s">
        <v>44</v>
      </c>
      <c r="H41" s="18">
        <f t="shared" si="1"/>
        <v>31</v>
      </c>
      <c r="I41" s="17">
        <f t="shared" si="2"/>
        <v>78</v>
      </c>
    </row>
    <row r="42" spans="1:9" ht="15.75" customHeight="1">
      <c r="A42" s="14">
        <v>33</v>
      </c>
      <c r="B42" s="15" t="s">
        <v>45</v>
      </c>
      <c r="C42" s="22">
        <v>14</v>
      </c>
      <c r="D42" s="17">
        <f t="shared" si="3"/>
        <v>78</v>
      </c>
      <c r="F42" s="14">
        <v>33</v>
      </c>
      <c r="G42" s="15" t="s">
        <v>45</v>
      </c>
      <c r="H42" s="18">
        <f t="shared" si="1"/>
        <v>14</v>
      </c>
      <c r="I42" s="17">
        <f t="shared" si="2"/>
        <v>35</v>
      </c>
    </row>
    <row r="43" spans="1:9" ht="15.75" customHeight="1">
      <c r="A43" s="20">
        <v>34</v>
      </c>
      <c r="B43" s="21" t="s">
        <v>46</v>
      </c>
      <c r="C43" s="16">
        <v>37</v>
      </c>
      <c r="D43" s="23">
        <f t="shared" si="3"/>
        <v>35</v>
      </c>
      <c r="F43" s="20">
        <v>34</v>
      </c>
      <c r="G43" s="21" t="s">
        <v>46</v>
      </c>
      <c r="H43" s="18">
        <f t="shared" si="1"/>
        <v>37</v>
      </c>
      <c r="I43" s="23">
        <f t="shared" si="2"/>
        <v>93</v>
      </c>
    </row>
    <row r="44" spans="1:9" ht="15.75" customHeight="1">
      <c r="A44" s="14">
        <v>35</v>
      </c>
      <c r="B44" s="15" t="s">
        <v>47</v>
      </c>
      <c r="C44" s="16">
        <v>29</v>
      </c>
      <c r="D44" s="17">
        <f t="shared" si="3"/>
        <v>93</v>
      </c>
      <c r="E44" s="25"/>
      <c r="F44" s="14">
        <v>35</v>
      </c>
      <c r="G44" s="15" t="s">
        <v>47</v>
      </c>
      <c r="H44" s="18">
        <f t="shared" si="1"/>
        <v>29</v>
      </c>
      <c r="I44" s="17">
        <f t="shared" si="2"/>
        <v>73</v>
      </c>
    </row>
    <row r="45" spans="1:9" ht="15.75" customHeight="1">
      <c r="A45" s="14">
        <v>36</v>
      </c>
      <c r="B45" s="15" t="s">
        <v>48</v>
      </c>
      <c r="C45" s="16">
        <v>35</v>
      </c>
      <c r="D45" s="17">
        <f t="shared" si="3"/>
        <v>73</v>
      </c>
      <c r="E45" s="25"/>
      <c r="F45" s="14">
        <v>36</v>
      </c>
      <c r="G45" s="15" t="s">
        <v>48</v>
      </c>
      <c r="H45" s="18">
        <f t="shared" si="1"/>
        <v>35</v>
      </c>
      <c r="I45" s="17">
        <f t="shared" si="2"/>
        <v>88</v>
      </c>
    </row>
    <row r="46" spans="1:9" ht="15.75" customHeight="1">
      <c r="A46" s="14">
        <v>37</v>
      </c>
      <c r="B46" s="15" t="s">
        <v>49</v>
      </c>
      <c r="C46" s="39">
        <v>25</v>
      </c>
      <c r="D46" s="17">
        <f t="shared" si="3"/>
        <v>88</v>
      </c>
      <c r="E46" s="25"/>
      <c r="F46" s="14">
        <v>37</v>
      </c>
      <c r="G46" s="15" t="s">
        <v>49</v>
      </c>
      <c r="H46" s="18">
        <f t="shared" si="1"/>
        <v>25</v>
      </c>
      <c r="I46" s="17">
        <f t="shared" si="2"/>
        <v>63</v>
      </c>
    </row>
    <row r="47" spans="1:9" ht="15.75" customHeight="1">
      <c r="A47" s="14">
        <v>38</v>
      </c>
      <c r="B47" s="15" t="s">
        <v>50</v>
      </c>
      <c r="C47" s="16">
        <v>20</v>
      </c>
      <c r="D47" s="17">
        <f t="shared" ref="D47:D51" si="4">IF(UPPER(C47)="AB","AB",ROUND(((C47/C$9)*100),0))</f>
        <v>50</v>
      </c>
      <c r="E47" s="25"/>
      <c r="F47" s="14">
        <v>38</v>
      </c>
      <c r="G47" s="15" t="s">
        <v>50</v>
      </c>
      <c r="H47" s="18">
        <f t="shared" si="1"/>
        <v>20</v>
      </c>
      <c r="I47" s="17">
        <f t="shared" si="2"/>
        <v>50</v>
      </c>
    </row>
    <row r="48" spans="1:9" ht="15.75" customHeight="1">
      <c r="A48" s="14">
        <v>39</v>
      </c>
      <c r="B48" s="15" t="s">
        <v>51</v>
      </c>
      <c r="C48" s="16">
        <v>29</v>
      </c>
      <c r="D48" s="17">
        <f t="shared" si="4"/>
        <v>73</v>
      </c>
      <c r="E48" s="25"/>
      <c r="F48" s="14">
        <v>39</v>
      </c>
      <c r="G48" s="15" t="s">
        <v>51</v>
      </c>
      <c r="H48" s="18">
        <f t="shared" si="1"/>
        <v>29</v>
      </c>
      <c r="I48" s="23">
        <f t="shared" si="2"/>
        <v>73</v>
      </c>
    </row>
    <row r="49" spans="1:9" ht="15.75" customHeight="1">
      <c r="A49" s="14">
        <v>40</v>
      </c>
      <c r="B49" s="15" t="s">
        <v>52</v>
      </c>
      <c r="C49" s="16">
        <v>32</v>
      </c>
      <c r="D49" s="23">
        <f t="shared" si="4"/>
        <v>80</v>
      </c>
      <c r="E49" s="25"/>
      <c r="F49" s="14">
        <v>40</v>
      </c>
      <c r="G49" s="15" t="s">
        <v>52</v>
      </c>
      <c r="H49" s="18">
        <f t="shared" si="1"/>
        <v>32</v>
      </c>
      <c r="I49" s="17">
        <f t="shared" si="2"/>
        <v>80</v>
      </c>
    </row>
    <row r="50" spans="1:9" ht="15.75" customHeight="1">
      <c r="A50" s="14">
        <v>41</v>
      </c>
      <c r="B50" s="15" t="s">
        <v>53</v>
      </c>
      <c r="C50" s="16">
        <v>24</v>
      </c>
      <c r="D50" s="17">
        <f t="shared" si="4"/>
        <v>60</v>
      </c>
      <c r="E50" s="25"/>
      <c r="F50" s="14">
        <v>41</v>
      </c>
      <c r="G50" s="15" t="s">
        <v>53</v>
      </c>
      <c r="H50" s="18">
        <f t="shared" si="1"/>
        <v>24</v>
      </c>
      <c r="I50" s="17">
        <f t="shared" si="2"/>
        <v>60</v>
      </c>
    </row>
    <row r="51" spans="1:9" ht="15.75" customHeight="1">
      <c r="A51" s="26">
        <v>42</v>
      </c>
      <c r="B51" s="27" t="s">
        <v>54</v>
      </c>
      <c r="C51" s="19">
        <v>23</v>
      </c>
      <c r="D51" s="17">
        <f t="shared" si="4"/>
        <v>58</v>
      </c>
      <c r="E51" s="25"/>
      <c r="F51" s="14">
        <v>42</v>
      </c>
      <c r="G51" s="27" t="s">
        <v>54</v>
      </c>
      <c r="H51" s="18">
        <f t="shared" si="1"/>
        <v>23</v>
      </c>
      <c r="I51" s="17">
        <f t="shared" si="2"/>
        <v>58</v>
      </c>
    </row>
    <row r="52" spans="1:9" ht="15.75" customHeight="1">
      <c r="A52" s="26"/>
      <c r="B52" s="28"/>
      <c r="C52" s="29"/>
      <c r="D52" s="17"/>
      <c r="E52" s="25"/>
      <c r="F52" s="14"/>
      <c r="G52" s="28"/>
      <c r="H52" s="18"/>
      <c r="I52" s="17"/>
    </row>
    <row r="53" spans="1:9" ht="15.75" customHeight="1">
      <c r="A53" s="26"/>
      <c r="B53" s="27"/>
      <c r="C53" s="29"/>
      <c r="D53" s="17"/>
      <c r="E53" s="25"/>
      <c r="F53" s="14"/>
      <c r="G53" s="27"/>
      <c r="H53" s="18"/>
      <c r="I53" s="23"/>
    </row>
    <row r="54" spans="1:9" ht="15.75" customHeight="1">
      <c r="A54" s="26"/>
      <c r="B54" s="27"/>
      <c r="C54" s="27"/>
      <c r="D54" s="17"/>
      <c r="E54" s="25"/>
      <c r="F54" s="14"/>
      <c r="G54" s="27"/>
      <c r="H54" s="18"/>
      <c r="I54" s="17"/>
    </row>
    <row r="55" spans="1:9" ht="15.75" customHeight="1">
      <c r="A55" s="26"/>
      <c r="B55" s="27"/>
      <c r="C55" s="27"/>
      <c r="D55" s="23"/>
      <c r="E55" s="25"/>
      <c r="F55" s="14"/>
      <c r="G55" s="27"/>
      <c r="H55" s="24"/>
      <c r="I55" s="40"/>
    </row>
    <row r="56" spans="1:9" ht="15.75" customHeight="1">
      <c r="A56" s="26"/>
      <c r="B56" s="27"/>
      <c r="C56" s="27"/>
      <c r="D56" s="17"/>
      <c r="E56" s="25"/>
      <c r="F56" s="14"/>
      <c r="G56" s="27"/>
      <c r="H56" s="18"/>
      <c r="I56" s="41"/>
    </row>
    <row r="57" spans="1:9" ht="15.75" customHeight="1">
      <c r="A57" s="27"/>
      <c r="B57" s="27"/>
      <c r="C57" s="27"/>
      <c r="D57" s="23"/>
      <c r="E57" s="25"/>
      <c r="F57" s="27"/>
      <c r="G57" s="27"/>
      <c r="H57" s="18"/>
      <c r="I57" s="41"/>
    </row>
    <row r="58" spans="1:9" ht="15.75" customHeight="1">
      <c r="A58" s="8"/>
      <c r="B58" s="8"/>
      <c r="C58" s="8"/>
      <c r="D58" s="30" t="s">
        <v>55</v>
      </c>
      <c r="F58" s="8"/>
      <c r="G58" s="8"/>
      <c r="H58" s="8"/>
      <c r="I58" s="30" t="s">
        <v>55</v>
      </c>
    </row>
    <row r="59" spans="1:9" ht="15.75" customHeight="1">
      <c r="A59" s="78" t="s">
        <v>56</v>
      </c>
      <c r="B59" s="79"/>
      <c r="C59" s="8"/>
      <c r="D59" s="8"/>
      <c r="F59" s="78" t="s">
        <v>56</v>
      </c>
      <c r="G59" s="79"/>
      <c r="H59" s="8"/>
      <c r="I59" s="8"/>
    </row>
    <row r="60" spans="1:9" ht="15.75" customHeight="1">
      <c r="A60" s="31" t="s">
        <v>57</v>
      </c>
      <c r="B60" s="32">
        <f>COUNTIF(D10:D57,"&gt;=90")</f>
        <v>4</v>
      </c>
      <c r="C60" s="30" t="s">
        <v>58</v>
      </c>
      <c r="D60" s="34">
        <f>COUNT(C10:C57)</f>
        <v>42</v>
      </c>
      <c r="F60" s="31" t="s">
        <v>57</v>
      </c>
      <c r="G60" s="32">
        <f>COUNTIF(I10:I57,"&gt;=90")</f>
        <v>3</v>
      </c>
      <c r="H60" s="30" t="s">
        <v>58</v>
      </c>
      <c r="I60" s="33">
        <f>COUNT(H10:H57)</f>
        <v>42</v>
      </c>
    </row>
    <row r="61" spans="1:9" ht="15.75" customHeight="1">
      <c r="A61" s="31" t="s">
        <v>59</v>
      </c>
      <c r="B61" s="32">
        <f>COUNTIF(D10:D57,"&gt;=75")-B60</f>
        <v>13</v>
      </c>
      <c r="C61" s="30" t="s">
        <v>60</v>
      </c>
      <c r="D61" s="34">
        <f>COUNTIF(D10:D57,"=AB")</f>
        <v>0</v>
      </c>
      <c r="F61" s="31" t="s">
        <v>59</v>
      </c>
      <c r="G61" s="32">
        <f>COUNTIF(I10:I57,"&gt;=75")-G60</f>
        <v>13</v>
      </c>
      <c r="H61" s="30" t="s">
        <v>60</v>
      </c>
      <c r="I61" s="34">
        <f>COUNTIF(I10:I57,"=AB")</f>
        <v>0</v>
      </c>
    </row>
    <row r="62" spans="1:9" ht="15.75" customHeight="1">
      <c r="A62" s="31" t="s">
        <v>61</v>
      </c>
      <c r="B62" s="32">
        <f>COUNTIF(D10:D57,"&gt;=60")-B61-B60</f>
        <v>16</v>
      </c>
      <c r="C62" s="30" t="s">
        <v>62</v>
      </c>
      <c r="D62" s="35">
        <f>COUNTIF(D10:D57,"&gt;=33")</f>
        <v>42</v>
      </c>
      <c r="F62" s="31" t="s">
        <v>61</v>
      </c>
      <c r="G62" s="32">
        <f>COUNTIF(I10:I57,"&gt;=60")-G61-G60</f>
        <v>17</v>
      </c>
      <c r="H62" s="30" t="s">
        <v>62</v>
      </c>
      <c r="I62" s="35">
        <f>COUNTIF(I10:I57,"&gt;=33")</f>
        <v>42</v>
      </c>
    </row>
    <row r="63" spans="1:9" ht="15.75" customHeight="1">
      <c r="A63" s="31" t="s">
        <v>63</v>
      </c>
      <c r="B63" s="32">
        <f>COUNTIF(D10:D57,"&gt;=45")-B62-B61-B60</f>
        <v>7</v>
      </c>
      <c r="C63" s="30" t="s">
        <v>64</v>
      </c>
      <c r="D63" s="34">
        <f>(D62/D60)*100</f>
        <v>100</v>
      </c>
      <c r="F63" s="31" t="s">
        <v>63</v>
      </c>
      <c r="G63" s="32">
        <f>COUNTIF(I10:I57,"&gt;=45")-G62-G61-G60</f>
        <v>7</v>
      </c>
      <c r="H63" s="30" t="s">
        <v>64</v>
      </c>
      <c r="I63" s="34">
        <f>(I62/I60)*100</f>
        <v>100</v>
      </c>
    </row>
    <row r="64" spans="1:9" ht="15.75" customHeight="1">
      <c r="A64" s="31" t="s">
        <v>65</v>
      </c>
      <c r="B64" s="32">
        <f>COUNTIF(D10:D57,"&gt;=33")-B63-B62-B61-B60</f>
        <v>2</v>
      </c>
      <c r="C64" s="8"/>
      <c r="D64" s="8"/>
      <c r="F64" s="31" t="s">
        <v>65</v>
      </c>
      <c r="G64" s="32">
        <f>COUNTIF(I10:I57,"&gt;=33")-G63-G62-G61-G60</f>
        <v>2</v>
      </c>
      <c r="H64" s="8"/>
      <c r="I64" s="8"/>
    </row>
    <row r="65" spans="1:9" ht="15.75" customHeight="1">
      <c r="A65" s="31" t="s">
        <v>66</v>
      </c>
      <c r="B65" s="32">
        <f>COUNTIF(D10:D57,"&lt;33")-COUNTIF(D10:D57,"=0.0")</f>
        <v>0</v>
      </c>
      <c r="C65" s="8"/>
      <c r="D65" s="8"/>
      <c r="F65" s="31" t="s">
        <v>66</v>
      </c>
      <c r="G65" s="32">
        <f>COUNTIF(I10:I57,"&lt;33")-COUNTIF(I10:I57,"=0.0")</f>
        <v>0</v>
      </c>
      <c r="H65" s="8"/>
      <c r="I65" s="8"/>
    </row>
    <row r="66" spans="1:9" ht="15.75" customHeight="1">
      <c r="A66" s="8"/>
      <c r="B66" s="8"/>
      <c r="C66" s="8"/>
      <c r="D66" s="8"/>
      <c r="F66" s="8"/>
      <c r="G66" s="8"/>
      <c r="H66" s="8"/>
      <c r="I66" s="8"/>
    </row>
    <row r="67" spans="1:9" ht="15.75" customHeight="1">
      <c r="A67" s="30" t="s">
        <v>67</v>
      </c>
      <c r="B67" s="8"/>
      <c r="C67" s="8"/>
      <c r="D67" s="36"/>
      <c r="F67" s="30" t="s">
        <v>67</v>
      </c>
      <c r="G67" s="8"/>
      <c r="H67" s="8"/>
      <c r="I67" s="36"/>
    </row>
    <row r="68" spans="1:9" ht="15.75" customHeight="1">
      <c r="A68" s="30" t="s">
        <v>68</v>
      </c>
      <c r="B68" s="8"/>
      <c r="C68" s="8"/>
      <c r="D68" s="30" t="s">
        <v>69</v>
      </c>
      <c r="F68" s="30" t="s">
        <v>68</v>
      </c>
      <c r="G68" s="8"/>
      <c r="H68" s="8"/>
      <c r="I68" s="30" t="s">
        <v>69</v>
      </c>
    </row>
    <row r="69" spans="1:9" ht="15.75" customHeight="1"/>
    <row r="70" spans="1:9" ht="15.75" customHeight="1"/>
    <row r="71" spans="1:9" ht="15.75" customHeight="1"/>
    <row r="72" spans="1:9" ht="15.75" customHeight="1"/>
    <row r="73" spans="1:9" ht="15.75" customHeight="1"/>
    <row r="74" spans="1:9" ht="15.75" customHeight="1"/>
    <row r="75" spans="1:9" ht="15.75" customHeight="1"/>
    <row r="76" spans="1:9" ht="15.75" customHeight="1"/>
    <row r="77" spans="1:9" ht="15.75" customHeight="1"/>
    <row r="78" spans="1:9" ht="15.75" customHeight="1"/>
    <row r="79" spans="1:9" ht="15.75" customHeight="1"/>
    <row r="80" spans="1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B9"/>
    <mergeCell ref="A59:B59"/>
    <mergeCell ref="F59:G59"/>
    <mergeCell ref="A1:D1"/>
    <mergeCell ref="F1:I1"/>
    <mergeCell ref="A2:D2"/>
    <mergeCell ref="F2:I2"/>
    <mergeCell ref="A8:A9"/>
    <mergeCell ref="F8:F9"/>
    <mergeCell ref="G8:G9"/>
  </mergeCells>
  <printOptions horizontalCentered="1" gridLines="1"/>
  <pageMargins left="0.25" right="0.25" top="0.28589909443725742" bottom="1.5408017179670725" header="0" footer="0"/>
  <pageSetup paperSize="9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AA995"/>
  <sheetViews>
    <sheetView workbookViewId="0">
      <selection sqref="A1:M1"/>
    </sheetView>
  </sheetViews>
  <sheetFormatPr defaultColWidth="12.5703125" defaultRowHeight="15" customHeight="1"/>
  <cols>
    <col min="1" max="1" width="7.5703125" customWidth="1"/>
    <col min="2" max="2" width="24.140625" customWidth="1"/>
    <col min="3" max="5" width="5.140625" customWidth="1"/>
    <col min="6" max="6" width="6.42578125" customWidth="1"/>
    <col min="7" max="9" width="5.140625" customWidth="1"/>
    <col min="10" max="10" width="6.42578125" customWidth="1"/>
    <col min="11" max="11" width="8" customWidth="1"/>
    <col min="12" max="12" width="12.7109375" customWidth="1"/>
    <col min="13" max="13" width="18.28515625" customWidth="1"/>
  </cols>
  <sheetData>
    <row r="1" spans="1:27" ht="25.5" customHeight="1">
      <c r="A1" s="85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</row>
    <row r="2" spans="1:27" ht="15.75" customHeight="1">
      <c r="A2" s="86" t="s">
        <v>86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</row>
    <row r="3" spans="1:27" ht="15.75" customHeight="1">
      <c r="A3" s="87" t="s">
        <v>87</v>
      </c>
      <c r="B3" s="79"/>
      <c r="C3" s="79"/>
      <c r="D3" s="79"/>
      <c r="E3" s="36"/>
      <c r="F3" s="42" t="s">
        <v>1</v>
      </c>
      <c r="H3" s="36"/>
      <c r="I3" s="36"/>
      <c r="J3" s="36"/>
      <c r="K3" s="43"/>
      <c r="L3" s="44"/>
      <c r="M3" s="45" t="s">
        <v>88</v>
      </c>
    </row>
    <row r="4" spans="1:27" ht="15.75" customHeight="1">
      <c r="A4" s="46" t="s">
        <v>89</v>
      </c>
      <c r="B4" s="47" t="s">
        <v>90</v>
      </c>
      <c r="C4" s="48" t="s">
        <v>91</v>
      </c>
      <c r="D4" s="48" t="s">
        <v>92</v>
      </c>
      <c r="E4" s="48" t="s">
        <v>93</v>
      </c>
      <c r="F4" s="48" t="s">
        <v>94</v>
      </c>
      <c r="G4" s="48" t="s">
        <v>95</v>
      </c>
      <c r="H4" s="48" t="s">
        <v>96</v>
      </c>
      <c r="I4" s="48" t="s">
        <v>97</v>
      </c>
      <c r="J4" s="48" t="s">
        <v>98</v>
      </c>
      <c r="K4" s="48" t="s">
        <v>12</v>
      </c>
      <c r="L4" s="48" t="s">
        <v>99</v>
      </c>
      <c r="M4" s="48" t="s">
        <v>100</v>
      </c>
    </row>
    <row r="5" spans="1:27" ht="15.75" customHeight="1">
      <c r="A5" s="49"/>
      <c r="B5" s="50" t="s">
        <v>101</v>
      </c>
      <c r="C5" s="51">
        <v>40</v>
      </c>
      <c r="D5" s="51">
        <v>40</v>
      </c>
      <c r="E5" s="51">
        <v>40</v>
      </c>
      <c r="F5" s="51">
        <v>40</v>
      </c>
      <c r="G5" s="51">
        <v>40</v>
      </c>
      <c r="H5" s="51">
        <v>40</v>
      </c>
      <c r="I5" s="51">
        <v>40</v>
      </c>
      <c r="J5" s="51">
        <v>240</v>
      </c>
      <c r="K5" s="52">
        <v>100</v>
      </c>
      <c r="L5" s="53"/>
      <c r="M5" s="53"/>
    </row>
    <row r="6" spans="1:27" ht="25.5" customHeight="1">
      <c r="A6" s="54">
        <v>1</v>
      </c>
      <c r="B6" s="15" t="s">
        <v>13</v>
      </c>
      <c r="C6" s="55">
        <f>हिन्दी!C10</f>
        <v>21</v>
      </c>
      <c r="D6" s="55">
        <f>English!C10</f>
        <v>27</v>
      </c>
      <c r="E6" s="55">
        <f>Maths!C10</f>
        <v>15</v>
      </c>
      <c r="F6" s="55">
        <f>Science!C10</f>
        <v>20</v>
      </c>
      <c r="G6" s="55">
        <f>S.St.!C10</f>
        <v>14</v>
      </c>
      <c r="H6" s="55">
        <f>संस्कृत!C10</f>
        <v>23</v>
      </c>
      <c r="I6" s="55">
        <f>AI!C10</f>
        <v>28</v>
      </c>
      <c r="J6" s="55">
        <f t="shared" ref="J6:J47" si="0">SUM(C6:H6)</f>
        <v>120</v>
      </c>
      <c r="K6" s="56">
        <f t="shared" ref="K6:K47" si="1">J6/240*100</f>
        <v>50</v>
      </c>
      <c r="L6" s="57"/>
      <c r="M6" s="57">
        <v>0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 spans="1:27" ht="25.5" customHeight="1">
      <c r="A7" s="54">
        <v>2</v>
      </c>
      <c r="B7" s="15" t="s">
        <v>14</v>
      </c>
      <c r="C7" s="55">
        <f>हिन्दी!C11</f>
        <v>41</v>
      </c>
      <c r="D7" s="55">
        <f>English!C11</f>
        <v>10</v>
      </c>
      <c r="E7" s="55">
        <f>Maths!C11</f>
        <v>10</v>
      </c>
      <c r="F7" s="55">
        <f>Science!C11</f>
        <v>9</v>
      </c>
      <c r="G7" s="55">
        <f>S.St.!C11</f>
        <v>6</v>
      </c>
      <c r="H7" s="55">
        <f>संस्कृत!C11</f>
        <v>20</v>
      </c>
      <c r="I7" s="55">
        <f>AI!C11</f>
        <v>23</v>
      </c>
      <c r="J7" s="55">
        <f t="shared" si="0"/>
        <v>96</v>
      </c>
      <c r="K7" s="56">
        <f t="shared" si="1"/>
        <v>40</v>
      </c>
      <c r="L7" s="57"/>
      <c r="M7" s="57">
        <v>1</v>
      </c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27" ht="25.5" customHeight="1">
      <c r="A8" s="54">
        <v>3</v>
      </c>
      <c r="B8" s="15" t="s">
        <v>15</v>
      </c>
      <c r="C8" s="55">
        <f>हिन्दी!C12</f>
        <v>52</v>
      </c>
      <c r="D8" s="55">
        <f>English!C12</f>
        <v>17</v>
      </c>
      <c r="E8" s="55">
        <f>Maths!C12</f>
        <v>28</v>
      </c>
      <c r="F8" s="55">
        <f>Science!C12</f>
        <v>24</v>
      </c>
      <c r="G8" s="55">
        <f>S.St.!C12</f>
        <v>25</v>
      </c>
      <c r="H8" s="55">
        <f>संस्कृत!C12</f>
        <v>32</v>
      </c>
      <c r="I8" s="55">
        <f>AI!C12</f>
        <v>27</v>
      </c>
      <c r="J8" s="55">
        <f t="shared" si="0"/>
        <v>178</v>
      </c>
      <c r="K8" s="56">
        <f t="shared" si="1"/>
        <v>74.166666666666671</v>
      </c>
      <c r="L8" s="57"/>
      <c r="M8" s="57">
        <v>0</v>
      </c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ht="25.5" customHeight="1">
      <c r="A9" s="54">
        <v>4</v>
      </c>
      <c r="B9" s="15" t="s">
        <v>16</v>
      </c>
      <c r="C9" s="55">
        <f>हिन्दी!C13</f>
        <v>51</v>
      </c>
      <c r="D9" s="55">
        <f>English!C13</f>
        <v>30</v>
      </c>
      <c r="E9" s="55">
        <f>Maths!C13</f>
        <v>29</v>
      </c>
      <c r="F9" s="55">
        <f>Science!C13</f>
        <v>30</v>
      </c>
      <c r="G9" s="55">
        <f>S.St.!C13</f>
        <v>25</v>
      </c>
      <c r="H9" s="55">
        <f>संस्कृत!C13</f>
        <v>34</v>
      </c>
      <c r="I9" s="55">
        <f>AI!C13</f>
        <v>32</v>
      </c>
      <c r="J9" s="55">
        <f t="shared" si="0"/>
        <v>199</v>
      </c>
      <c r="K9" s="56">
        <f t="shared" si="1"/>
        <v>82.916666666666671</v>
      </c>
      <c r="L9" s="57"/>
      <c r="M9" s="57">
        <v>1</v>
      </c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27" ht="25.5" customHeight="1">
      <c r="A10" s="54">
        <v>5</v>
      </c>
      <c r="B10" s="15" t="s">
        <v>17</v>
      </c>
      <c r="C10" s="55">
        <f>हिन्दी!C14</f>
        <v>45</v>
      </c>
      <c r="D10" s="55">
        <f>English!C14</f>
        <v>24</v>
      </c>
      <c r="E10" s="55">
        <f>Maths!C14</f>
        <v>20</v>
      </c>
      <c r="F10" s="55">
        <f>Science!C14</f>
        <v>20</v>
      </c>
      <c r="G10" s="55">
        <f>S.St.!C14</f>
        <v>16</v>
      </c>
      <c r="H10" s="55">
        <f>संस्कृत!C14</f>
        <v>29</v>
      </c>
      <c r="I10" s="55">
        <f>AI!C14</f>
        <v>21</v>
      </c>
      <c r="J10" s="55">
        <f t="shared" si="0"/>
        <v>154</v>
      </c>
      <c r="K10" s="56">
        <f t="shared" si="1"/>
        <v>64.166666666666671</v>
      </c>
      <c r="L10" s="57"/>
      <c r="M10" s="57">
        <v>0</v>
      </c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27" ht="25.5" customHeight="1">
      <c r="A11" s="54">
        <v>6</v>
      </c>
      <c r="B11" s="15" t="s">
        <v>18</v>
      </c>
      <c r="C11" s="55">
        <f>हिन्दी!C15</f>
        <v>36</v>
      </c>
      <c r="D11" s="55">
        <f>English!C15</f>
        <v>27</v>
      </c>
      <c r="E11" s="55">
        <f>Maths!C15</f>
        <v>30</v>
      </c>
      <c r="F11" s="55">
        <f>Science!C15</f>
        <v>26</v>
      </c>
      <c r="G11" s="55">
        <f>S.St.!C15</f>
        <v>19</v>
      </c>
      <c r="H11" s="55">
        <f>संस्कृत!C15</f>
        <v>34</v>
      </c>
      <c r="I11" s="55">
        <f>AI!C15</f>
        <v>30</v>
      </c>
      <c r="J11" s="55">
        <f t="shared" si="0"/>
        <v>172</v>
      </c>
      <c r="K11" s="56">
        <f t="shared" si="1"/>
        <v>71.666666666666671</v>
      </c>
      <c r="L11" s="57"/>
      <c r="M11" s="57">
        <v>0</v>
      </c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27" ht="25.5" customHeight="1">
      <c r="A12" s="54">
        <v>7</v>
      </c>
      <c r="B12" s="15" t="s">
        <v>19</v>
      </c>
      <c r="C12" s="55">
        <f>हिन्दी!C16</f>
        <v>49</v>
      </c>
      <c r="D12" s="55">
        <f>English!C16</f>
        <v>35</v>
      </c>
      <c r="E12" s="55">
        <f>Maths!C16</f>
        <v>30</v>
      </c>
      <c r="F12" s="55">
        <f>Science!C16</f>
        <v>35</v>
      </c>
      <c r="G12" s="55">
        <f>S.St.!C16</f>
        <v>31</v>
      </c>
      <c r="H12" s="55">
        <f>संस्कृत!C16</f>
        <v>40</v>
      </c>
      <c r="I12" s="55">
        <f>AI!C16</f>
        <v>35</v>
      </c>
      <c r="J12" s="55">
        <f t="shared" si="0"/>
        <v>220</v>
      </c>
      <c r="K12" s="56">
        <f t="shared" si="1"/>
        <v>91.666666666666657</v>
      </c>
      <c r="L12" s="57"/>
      <c r="M12" s="57">
        <v>1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27" ht="25.5" customHeight="1">
      <c r="A13" s="54">
        <v>8</v>
      </c>
      <c r="B13" s="15" t="s">
        <v>20</v>
      </c>
      <c r="C13" s="55">
        <f>हिन्दी!C17</f>
        <v>13</v>
      </c>
      <c r="D13" s="55">
        <f>English!C17</f>
        <v>6</v>
      </c>
      <c r="E13" s="55">
        <f>Maths!C17</f>
        <v>5</v>
      </c>
      <c r="F13" s="55">
        <f>Science!C17</f>
        <v>2</v>
      </c>
      <c r="G13" s="55">
        <f>S.St.!C17</f>
        <v>4</v>
      </c>
      <c r="H13" s="55">
        <f>संस्कृत!C17</f>
        <v>13</v>
      </c>
      <c r="I13" s="55">
        <f>AI!C17</f>
        <v>20</v>
      </c>
      <c r="J13" s="55">
        <f t="shared" si="0"/>
        <v>43</v>
      </c>
      <c r="K13" s="56">
        <f t="shared" si="1"/>
        <v>17.916666666666668</v>
      </c>
      <c r="L13" s="57"/>
      <c r="M13" s="5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27" ht="25.5" customHeight="1">
      <c r="A14" s="54">
        <v>9</v>
      </c>
      <c r="B14" s="15" t="s">
        <v>21</v>
      </c>
      <c r="C14" s="55">
        <f>हिन्दी!C18</f>
        <v>30</v>
      </c>
      <c r="D14" s="55">
        <f>English!C18</f>
        <v>24</v>
      </c>
      <c r="E14" s="55">
        <f>Maths!C18</f>
        <v>10</v>
      </c>
      <c r="F14" s="55">
        <f>Science!C18</f>
        <v>9</v>
      </c>
      <c r="G14" s="55">
        <f>S.St.!C18</f>
        <v>10</v>
      </c>
      <c r="H14" s="55">
        <f>संस्कृत!C18</f>
        <v>25</v>
      </c>
      <c r="I14" s="55">
        <f>AI!C18</f>
        <v>25</v>
      </c>
      <c r="J14" s="55">
        <f t="shared" si="0"/>
        <v>108</v>
      </c>
      <c r="K14" s="56">
        <f t="shared" si="1"/>
        <v>45</v>
      </c>
      <c r="L14" s="57"/>
      <c r="M14" s="57">
        <v>1</v>
      </c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27" ht="25.5" customHeight="1">
      <c r="A15" s="54">
        <v>10</v>
      </c>
      <c r="B15" s="15" t="s">
        <v>22</v>
      </c>
      <c r="C15" s="55">
        <f>हिन्दी!C19</f>
        <v>12</v>
      </c>
      <c r="D15" s="55">
        <f>English!C19</f>
        <v>9</v>
      </c>
      <c r="E15" s="55">
        <f>Maths!C19</f>
        <v>3</v>
      </c>
      <c r="F15" s="55">
        <f>Science!C19</f>
        <v>4</v>
      </c>
      <c r="G15" s="55">
        <f>S.St.!C19</f>
        <v>4</v>
      </c>
      <c r="H15" s="55">
        <f>संस्कृत!C19</f>
        <v>19</v>
      </c>
      <c r="I15" s="55">
        <f>AI!C19</f>
        <v>24</v>
      </c>
      <c r="J15" s="55">
        <f t="shared" si="0"/>
        <v>51</v>
      </c>
      <c r="K15" s="56">
        <f t="shared" si="1"/>
        <v>21.25</v>
      </c>
      <c r="L15" s="57"/>
      <c r="M15" s="57">
        <v>0</v>
      </c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27" ht="25.5" customHeight="1">
      <c r="A16" s="54">
        <v>11</v>
      </c>
      <c r="B16" s="15" t="s">
        <v>23</v>
      </c>
      <c r="C16" s="55">
        <f>हिन्दी!C20</f>
        <v>6</v>
      </c>
      <c r="D16" s="55">
        <f>English!C20</f>
        <v>11</v>
      </c>
      <c r="E16" s="55">
        <f>Maths!C20</f>
        <v>9</v>
      </c>
      <c r="F16" s="55">
        <f>Science!C20</f>
        <v>6</v>
      </c>
      <c r="G16" s="55">
        <f>S.St.!C20</f>
        <v>7</v>
      </c>
      <c r="H16" s="55">
        <f>संस्कृत!C20</f>
        <v>27</v>
      </c>
      <c r="I16" s="55">
        <f>AI!C20</f>
        <v>21</v>
      </c>
      <c r="J16" s="55">
        <f t="shared" si="0"/>
        <v>66</v>
      </c>
      <c r="K16" s="56">
        <f t="shared" si="1"/>
        <v>27.500000000000004</v>
      </c>
      <c r="L16" s="57"/>
      <c r="M16" s="57">
        <v>1</v>
      </c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 spans="1:27" ht="25.5" customHeight="1">
      <c r="A17" s="54">
        <v>12</v>
      </c>
      <c r="B17" s="15" t="s">
        <v>24</v>
      </c>
      <c r="C17" s="55">
        <f>हिन्दी!C21</f>
        <v>34</v>
      </c>
      <c r="D17" s="55">
        <f>English!C21</f>
        <v>11</v>
      </c>
      <c r="E17" s="55">
        <f>Maths!C21</f>
        <v>14</v>
      </c>
      <c r="F17" s="55">
        <f>Science!C21</f>
        <v>8</v>
      </c>
      <c r="G17" s="55">
        <f>S.St.!C21</f>
        <v>11</v>
      </c>
      <c r="H17" s="55">
        <f>संस्कृत!C21</f>
        <v>17</v>
      </c>
      <c r="I17" s="55">
        <f>AI!C21</f>
        <v>26</v>
      </c>
      <c r="J17" s="55">
        <f t="shared" si="0"/>
        <v>95</v>
      </c>
      <c r="K17" s="56">
        <f t="shared" si="1"/>
        <v>39.583333333333329</v>
      </c>
      <c r="L17" s="57"/>
      <c r="M17" s="57">
        <v>0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</row>
    <row r="18" spans="1:27" ht="25.5" customHeight="1">
      <c r="A18" s="54">
        <v>13</v>
      </c>
      <c r="B18" s="15" t="s">
        <v>25</v>
      </c>
      <c r="C18" s="55">
        <f>हिन्दी!C22</f>
        <v>34</v>
      </c>
      <c r="D18" s="55">
        <f>English!C22</f>
        <v>24</v>
      </c>
      <c r="E18" s="55">
        <f>Maths!C22</f>
        <v>19</v>
      </c>
      <c r="F18" s="55">
        <f>Science!C22</f>
        <v>18</v>
      </c>
      <c r="G18" s="55">
        <f>S.St.!C22</f>
        <v>20</v>
      </c>
      <c r="H18" s="55">
        <f>संस्कृत!C22</f>
        <v>27</v>
      </c>
      <c r="I18" s="55">
        <f>AI!C22</f>
        <v>18</v>
      </c>
      <c r="J18" s="55">
        <f t="shared" si="0"/>
        <v>142</v>
      </c>
      <c r="K18" s="56">
        <f t="shared" si="1"/>
        <v>59.166666666666664</v>
      </c>
      <c r="L18" s="57"/>
      <c r="M18" s="57">
        <v>1</v>
      </c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</row>
    <row r="19" spans="1:27" ht="25.5" customHeight="1">
      <c r="A19" s="54">
        <v>14</v>
      </c>
      <c r="B19" s="15" t="s">
        <v>26</v>
      </c>
      <c r="C19" s="55">
        <f>हिन्दी!C23</f>
        <v>46</v>
      </c>
      <c r="D19" s="55">
        <f>English!C23</f>
        <v>29</v>
      </c>
      <c r="E19" s="55">
        <f>Maths!C23</f>
        <v>25</v>
      </c>
      <c r="F19" s="55">
        <f>Science!C23</f>
        <v>17</v>
      </c>
      <c r="G19" s="55">
        <f>S.St.!C23</f>
        <v>21</v>
      </c>
      <c r="H19" s="55">
        <f>संस्कृत!C23</f>
        <v>37</v>
      </c>
      <c r="I19" s="55">
        <f>AI!C23</f>
        <v>28</v>
      </c>
      <c r="J19" s="55">
        <f t="shared" si="0"/>
        <v>175</v>
      </c>
      <c r="K19" s="56">
        <f t="shared" si="1"/>
        <v>72.916666666666657</v>
      </c>
      <c r="L19" s="57"/>
      <c r="M19" s="57">
        <v>0</v>
      </c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</row>
    <row r="20" spans="1:27" ht="25.5" customHeight="1">
      <c r="A20" s="54">
        <v>15</v>
      </c>
      <c r="B20" s="15" t="s">
        <v>27</v>
      </c>
      <c r="C20" s="55">
        <f>हिन्दी!C24</f>
        <v>36</v>
      </c>
      <c r="D20" s="55">
        <f>English!C24</f>
        <v>23</v>
      </c>
      <c r="E20" s="55">
        <f>Maths!C24</f>
        <v>14</v>
      </c>
      <c r="F20" s="55">
        <f>Science!C24</f>
        <v>16</v>
      </c>
      <c r="G20" s="55">
        <f>S.St.!C24</f>
        <v>21</v>
      </c>
      <c r="H20" s="55">
        <f>संस्कृत!C24</f>
        <v>30</v>
      </c>
      <c r="I20" s="55">
        <f>AI!C24</f>
        <v>29</v>
      </c>
      <c r="J20" s="55">
        <f t="shared" si="0"/>
        <v>140</v>
      </c>
      <c r="K20" s="56">
        <f t="shared" si="1"/>
        <v>58.333333333333336</v>
      </c>
      <c r="L20" s="57"/>
      <c r="M20" s="57">
        <v>1</v>
      </c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</row>
    <row r="21" spans="1:27" ht="25.5" customHeight="1">
      <c r="A21" s="54">
        <v>16</v>
      </c>
      <c r="B21" s="15" t="s">
        <v>28</v>
      </c>
      <c r="C21" s="55">
        <f>हिन्दी!C25</f>
        <v>52</v>
      </c>
      <c r="D21" s="55">
        <f>English!C25</f>
        <v>32</v>
      </c>
      <c r="E21" s="55">
        <f>Maths!C25</f>
        <v>27</v>
      </c>
      <c r="F21" s="55">
        <f>Science!C25</f>
        <v>19</v>
      </c>
      <c r="G21" s="55">
        <f>S.St.!C25</f>
        <v>25</v>
      </c>
      <c r="H21" s="55">
        <f>संस्कृत!C25</f>
        <v>33</v>
      </c>
      <c r="I21" s="55">
        <f>AI!C25</f>
        <v>37</v>
      </c>
      <c r="J21" s="55">
        <f t="shared" si="0"/>
        <v>188</v>
      </c>
      <c r="K21" s="56">
        <f t="shared" si="1"/>
        <v>78.333333333333329</v>
      </c>
      <c r="L21" s="57"/>
      <c r="M21" s="57">
        <v>1</v>
      </c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 spans="1:27" ht="25.5" customHeight="1">
      <c r="A22" s="54">
        <v>17</v>
      </c>
      <c r="B22" s="15" t="s">
        <v>29</v>
      </c>
      <c r="C22" s="55">
        <f>हिन्दी!C26</f>
        <v>10</v>
      </c>
      <c r="D22" s="55">
        <f>English!C26</f>
        <v>12</v>
      </c>
      <c r="E22" s="55">
        <f>Maths!C26</f>
        <v>10</v>
      </c>
      <c r="F22" s="55">
        <f>Science!C26</f>
        <v>4</v>
      </c>
      <c r="G22" s="55">
        <f>S.St.!C26</f>
        <v>8</v>
      </c>
      <c r="H22" s="55">
        <f>संस्कृत!C26</f>
        <v>38</v>
      </c>
      <c r="I22" s="55">
        <f>AI!C25</f>
        <v>37</v>
      </c>
      <c r="J22" s="55">
        <f t="shared" si="0"/>
        <v>82</v>
      </c>
      <c r="K22" s="56">
        <f t="shared" si="1"/>
        <v>34.166666666666664</v>
      </c>
      <c r="L22" s="57"/>
      <c r="M22" s="57">
        <v>0</v>
      </c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27" ht="25.5" customHeight="1">
      <c r="A23" s="54">
        <v>18</v>
      </c>
      <c r="B23" s="15" t="s">
        <v>30</v>
      </c>
      <c r="C23" s="55">
        <f>हिन्दी!C27</f>
        <v>56</v>
      </c>
      <c r="D23" s="55">
        <f>English!C27</f>
        <v>39</v>
      </c>
      <c r="E23" s="55">
        <f>Maths!C27</f>
        <v>40</v>
      </c>
      <c r="F23" s="55">
        <f>Science!C27</f>
        <v>37</v>
      </c>
      <c r="G23" s="55">
        <f>S.St.!C27</f>
        <v>39</v>
      </c>
      <c r="H23" s="55">
        <f>संस्कृत!C27</f>
        <v>40</v>
      </c>
      <c r="I23" s="55">
        <f>AI!C26</f>
        <v>27</v>
      </c>
      <c r="J23" s="55">
        <f t="shared" si="0"/>
        <v>251</v>
      </c>
      <c r="K23" s="56">
        <f t="shared" si="1"/>
        <v>104.58333333333334</v>
      </c>
      <c r="L23" s="57"/>
      <c r="M23" s="57">
        <v>1</v>
      </c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1:27" ht="25.5" customHeight="1">
      <c r="A24" s="54">
        <v>19</v>
      </c>
      <c r="B24" s="15" t="s">
        <v>31</v>
      </c>
      <c r="C24" s="55">
        <f>हिन्दी!C28</f>
        <v>16</v>
      </c>
      <c r="D24" s="55">
        <f>English!C28</f>
        <v>26</v>
      </c>
      <c r="E24" s="55">
        <f>Maths!C28</f>
        <v>16</v>
      </c>
      <c r="F24" s="55">
        <f>Science!C28</f>
        <v>11</v>
      </c>
      <c r="G24" s="55">
        <f>S.St.!C28</f>
        <v>16</v>
      </c>
      <c r="H24" s="55">
        <f>संस्कृत!C28</f>
        <v>27</v>
      </c>
      <c r="I24" s="55">
        <f>AI!C27</f>
        <v>35</v>
      </c>
      <c r="J24" s="55">
        <f t="shared" si="0"/>
        <v>112</v>
      </c>
      <c r="K24" s="56">
        <f t="shared" si="1"/>
        <v>46.666666666666664</v>
      </c>
      <c r="L24" s="57"/>
      <c r="M24" s="57">
        <v>0</v>
      </c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27" ht="25.5" customHeight="1">
      <c r="A25" s="54">
        <v>20</v>
      </c>
      <c r="B25" s="15" t="s">
        <v>32</v>
      </c>
      <c r="C25" s="55">
        <f>हिन्दी!C29</f>
        <v>58</v>
      </c>
      <c r="D25" s="55">
        <f>English!C29</f>
        <v>37</v>
      </c>
      <c r="E25" s="55">
        <f>Maths!C29</f>
        <v>39</v>
      </c>
      <c r="F25" s="55">
        <f>Science!C29</f>
        <v>33</v>
      </c>
      <c r="G25" s="55">
        <f>S.St.!C29</f>
        <v>39</v>
      </c>
      <c r="H25" s="55">
        <f>संस्कृत!C29</f>
        <v>35</v>
      </c>
      <c r="I25" s="55">
        <f>AI!C28</f>
        <v>32</v>
      </c>
      <c r="J25" s="55">
        <f t="shared" si="0"/>
        <v>241</v>
      </c>
      <c r="K25" s="56">
        <f t="shared" si="1"/>
        <v>100.41666666666667</v>
      </c>
      <c r="L25" s="57"/>
      <c r="M25" s="57">
        <v>0</v>
      </c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spans="1:27" ht="25.5" customHeight="1">
      <c r="A26" s="54">
        <v>21</v>
      </c>
      <c r="B26" s="15" t="s">
        <v>33</v>
      </c>
      <c r="C26" s="55">
        <f>हिन्दी!C30</f>
        <v>23</v>
      </c>
      <c r="D26" s="55">
        <f>English!C30</f>
        <v>8</v>
      </c>
      <c r="E26" s="55">
        <f>Maths!C30</f>
        <v>13</v>
      </c>
      <c r="F26" s="55">
        <f>Science!C30</f>
        <v>5</v>
      </c>
      <c r="G26" s="55">
        <f>S.St.!C30</f>
        <v>6</v>
      </c>
      <c r="H26" s="55">
        <f>संस्कृत!C30</f>
        <v>27</v>
      </c>
      <c r="I26" s="55">
        <f>AI!C29</f>
        <v>35</v>
      </c>
      <c r="J26" s="55">
        <f t="shared" si="0"/>
        <v>82</v>
      </c>
      <c r="K26" s="56">
        <f t="shared" si="1"/>
        <v>34.166666666666664</v>
      </c>
      <c r="L26" s="57"/>
      <c r="M26" s="57">
        <v>0</v>
      </c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spans="1:27" ht="25.5" customHeight="1">
      <c r="A27" s="54">
        <v>22</v>
      </c>
      <c r="B27" s="15" t="s">
        <v>34</v>
      </c>
      <c r="C27" s="55">
        <f>हिन्दी!C31</f>
        <v>27</v>
      </c>
      <c r="D27" s="55">
        <f>English!C31</f>
        <v>23</v>
      </c>
      <c r="E27" s="55">
        <f>Maths!C31</f>
        <v>24</v>
      </c>
      <c r="F27" s="55">
        <f>Science!C31</f>
        <v>26</v>
      </c>
      <c r="G27" s="55">
        <f>S.St.!C31</f>
        <v>22</v>
      </c>
      <c r="H27" s="55">
        <f>संस्कृत!C31</f>
        <v>17</v>
      </c>
      <c r="I27" s="55">
        <f>AI!C30</f>
        <v>26</v>
      </c>
      <c r="J27" s="55">
        <f t="shared" si="0"/>
        <v>139</v>
      </c>
      <c r="K27" s="56">
        <f t="shared" si="1"/>
        <v>57.916666666666671</v>
      </c>
      <c r="L27" s="57"/>
      <c r="M27" s="57">
        <v>0</v>
      </c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spans="1:27" ht="25.5" customHeight="1">
      <c r="A28" s="54">
        <v>23</v>
      </c>
      <c r="B28" s="15" t="s">
        <v>35</v>
      </c>
      <c r="C28" s="55">
        <f>हिन्दी!C32</f>
        <v>48</v>
      </c>
      <c r="D28" s="55">
        <f>English!C32</f>
        <v>22</v>
      </c>
      <c r="E28" s="55">
        <f>Maths!C32</f>
        <v>14</v>
      </c>
      <c r="F28" s="55">
        <f>Science!C32</f>
        <v>26</v>
      </c>
      <c r="G28" s="55">
        <f>S.St.!C32</f>
        <v>29</v>
      </c>
      <c r="H28" s="55">
        <f>संस्कृत!C32</f>
        <v>33</v>
      </c>
      <c r="I28" s="55">
        <f>AI!C31</f>
        <v>34</v>
      </c>
      <c r="J28" s="55">
        <f t="shared" si="0"/>
        <v>172</v>
      </c>
      <c r="K28" s="56">
        <f t="shared" si="1"/>
        <v>71.666666666666671</v>
      </c>
      <c r="L28" s="57"/>
      <c r="M28" s="57">
        <v>0</v>
      </c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spans="1:27" ht="25.5" customHeight="1">
      <c r="A29" s="54">
        <v>24</v>
      </c>
      <c r="B29" s="15" t="s">
        <v>36</v>
      </c>
      <c r="C29" s="55">
        <f>हिन्दी!C33</f>
        <v>55</v>
      </c>
      <c r="D29" s="55">
        <f>English!C33</f>
        <v>37</v>
      </c>
      <c r="E29" s="55">
        <f>Maths!C33</f>
        <v>37</v>
      </c>
      <c r="F29" s="55">
        <f>Science!C33</f>
        <v>36</v>
      </c>
      <c r="G29" s="55">
        <f>S.St.!C33</f>
        <v>37</v>
      </c>
      <c r="H29" s="55">
        <f>संस्कृत!C33</f>
        <v>39</v>
      </c>
      <c r="I29" s="55">
        <f>AI!C32</f>
        <v>30</v>
      </c>
      <c r="J29" s="55">
        <f t="shared" si="0"/>
        <v>241</v>
      </c>
      <c r="K29" s="56">
        <f t="shared" si="1"/>
        <v>100.41666666666667</v>
      </c>
      <c r="L29" s="57"/>
      <c r="M29" s="57">
        <v>0</v>
      </c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27" ht="25.5" customHeight="1">
      <c r="A30" s="54">
        <v>25</v>
      </c>
      <c r="B30" s="15" t="s">
        <v>37</v>
      </c>
      <c r="C30" s="55">
        <f>हिन्दी!C34</f>
        <v>6</v>
      </c>
      <c r="D30" s="55">
        <f>English!C34</f>
        <v>13</v>
      </c>
      <c r="E30" s="55">
        <f>Maths!C34</f>
        <v>9</v>
      </c>
      <c r="F30" s="55">
        <f>Science!C34</f>
        <v>13</v>
      </c>
      <c r="G30" s="55">
        <f>S.St.!C34</f>
        <v>10</v>
      </c>
      <c r="H30" s="55">
        <f>संस्कृत!C34</f>
        <v>20</v>
      </c>
      <c r="I30" s="55">
        <f>AI!C33</f>
        <v>31</v>
      </c>
      <c r="J30" s="55">
        <f t="shared" si="0"/>
        <v>71</v>
      </c>
      <c r="K30" s="56">
        <f t="shared" si="1"/>
        <v>29.583333333333332</v>
      </c>
      <c r="L30" s="57"/>
      <c r="M30" s="57">
        <v>0</v>
      </c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25.5" customHeight="1">
      <c r="A31" s="54">
        <v>26</v>
      </c>
      <c r="B31" s="15" t="s">
        <v>38</v>
      </c>
      <c r="C31" s="55">
        <f>हिन्दी!C35</f>
        <v>15</v>
      </c>
      <c r="D31" s="55">
        <f>English!C35</f>
        <v>6</v>
      </c>
      <c r="E31" s="55">
        <f>Maths!C35</f>
        <v>11</v>
      </c>
      <c r="F31" s="55">
        <f>Science!C35</f>
        <v>16</v>
      </c>
      <c r="G31" s="55">
        <f>S.St.!C35</f>
        <v>14</v>
      </c>
      <c r="H31" s="55">
        <f>संस्कृत!C35</f>
        <v>24</v>
      </c>
      <c r="I31" s="55">
        <f>AI!C34</f>
        <v>36</v>
      </c>
      <c r="J31" s="55">
        <f t="shared" si="0"/>
        <v>86</v>
      </c>
      <c r="K31" s="56">
        <f t="shared" si="1"/>
        <v>35.833333333333336</v>
      </c>
      <c r="L31" s="57"/>
      <c r="M31" s="57">
        <v>0</v>
      </c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25.5" customHeight="1">
      <c r="A32" s="54">
        <v>27</v>
      </c>
      <c r="B32" s="15" t="s">
        <v>39</v>
      </c>
      <c r="C32" s="55">
        <f>हिन्दी!C36</f>
        <v>11</v>
      </c>
      <c r="D32" s="55">
        <f>English!C36</f>
        <v>4</v>
      </c>
      <c r="E32" s="55">
        <f>Maths!C36</f>
        <v>5</v>
      </c>
      <c r="F32" s="55">
        <f>Science!C36</f>
        <v>4</v>
      </c>
      <c r="G32" s="55">
        <f>S.St.!C36</f>
        <v>3</v>
      </c>
      <c r="H32" s="55">
        <f>संस्कृत!C36</f>
        <v>9</v>
      </c>
      <c r="I32" s="55">
        <f>AI!C35</f>
        <v>34</v>
      </c>
      <c r="J32" s="55">
        <f t="shared" si="0"/>
        <v>36</v>
      </c>
      <c r="K32" s="56">
        <f t="shared" si="1"/>
        <v>15</v>
      </c>
      <c r="L32" s="57"/>
      <c r="M32" s="57">
        <v>1</v>
      </c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1:27" ht="25.5" customHeight="1">
      <c r="A33" s="54">
        <v>28</v>
      </c>
      <c r="B33" s="15" t="s">
        <v>40</v>
      </c>
      <c r="C33" s="55">
        <f>हिन्दी!C37</f>
        <v>38</v>
      </c>
      <c r="D33" s="55">
        <f>English!C37</f>
        <v>14</v>
      </c>
      <c r="E33" s="55">
        <f>Maths!C37</f>
        <v>31</v>
      </c>
      <c r="F33" s="55">
        <f>Science!C37</f>
        <v>25</v>
      </c>
      <c r="G33" s="55">
        <f>S.St.!C37</f>
        <v>28</v>
      </c>
      <c r="H33" s="55">
        <f>संस्कृत!C37</f>
        <v>21</v>
      </c>
      <c r="I33" s="55">
        <f>AI!C36</f>
        <v>24</v>
      </c>
      <c r="J33" s="55">
        <f t="shared" si="0"/>
        <v>157</v>
      </c>
      <c r="K33" s="56">
        <f t="shared" si="1"/>
        <v>65.416666666666671</v>
      </c>
      <c r="L33" s="57"/>
      <c r="M33" s="57">
        <v>0</v>
      </c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 spans="1:27" ht="25.5" customHeight="1">
      <c r="A34" s="54">
        <v>29</v>
      </c>
      <c r="B34" s="15" t="s">
        <v>41</v>
      </c>
      <c r="C34" s="55">
        <f>हिन्दी!C38</f>
        <v>6</v>
      </c>
      <c r="D34" s="55">
        <f>English!C38</f>
        <v>2</v>
      </c>
      <c r="E34" s="55">
        <f>Maths!C38</f>
        <v>6</v>
      </c>
      <c r="F34" s="55">
        <f>Science!C38</f>
        <v>5</v>
      </c>
      <c r="G34" s="55">
        <f>S.St.!C38</f>
        <v>5</v>
      </c>
      <c r="H34" s="55">
        <f>संस्कृत!C38</f>
        <v>4</v>
      </c>
      <c r="I34" s="55">
        <f>AI!C37</f>
        <v>29</v>
      </c>
      <c r="J34" s="55">
        <f t="shared" si="0"/>
        <v>28</v>
      </c>
      <c r="K34" s="56">
        <f t="shared" si="1"/>
        <v>11.666666666666666</v>
      </c>
      <c r="L34" s="57"/>
      <c r="M34" s="57">
        <v>1</v>
      </c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 spans="1:27" ht="25.5" customHeight="1">
      <c r="A35" s="54">
        <v>30</v>
      </c>
      <c r="B35" s="15" t="s">
        <v>42</v>
      </c>
      <c r="C35" s="55">
        <f>हिन्दी!C39</f>
        <v>9</v>
      </c>
      <c r="D35" s="55">
        <f>English!C39</f>
        <v>5</v>
      </c>
      <c r="E35" s="55">
        <f>Maths!C39</f>
        <v>7</v>
      </c>
      <c r="F35" s="55">
        <f>Science!C39</f>
        <v>8</v>
      </c>
      <c r="G35" s="55">
        <f>S.St.!C39</f>
        <v>6</v>
      </c>
      <c r="H35" s="55">
        <f>संस्कृत!C39</f>
        <v>4</v>
      </c>
      <c r="I35" s="55">
        <f>AI!C38</f>
        <v>17</v>
      </c>
      <c r="J35" s="55">
        <f t="shared" si="0"/>
        <v>39</v>
      </c>
      <c r="K35" s="56">
        <f t="shared" si="1"/>
        <v>16.25</v>
      </c>
      <c r="L35" s="57"/>
      <c r="M35" s="57">
        <v>0</v>
      </c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 spans="1:27" ht="25.5" customHeight="1">
      <c r="A36" s="54">
        <v>31</v>
      </c>
      <c r="B36" s="15" t="s">
        <v>43</v>
      </c>
      <c r="C36" s="55">
        <f>हिन्दी!C40</f>
        <v>30</v>
      </c>
      <c r="D36" s="55">
        <f>English!C40</f>
        <v>27</v>
      </c>
      <c r="E36" s="55">
        <f>Maths!C40</f>
        <v>31</v>
      </c>
      <c r="F36" s="55">
        <f>Science!C40</f>
        <v>19</v>
      </c>
      <c r="G36" s="55">
        <f>S.St.!C40</f>
        <v>32</v>
      </c>
      <c r="H36" s="55">
        <f>संस्कृत!C40</f>
        <v>25</v>
      </c>
      <c r="I36" s="55">
        <f>AI!C39</f>
        <v>27</v>
      </c>
      <c r="J36" s="55">
        <f t="shared" si="0"/>
        <v>164</v>
      </c>
      <c r="K36" s="56">
        <f t="shared" si="1"/>
        <v>68.333333333333329</v>
      </c>
      <c r="L36" s="57"/>
      <c r="M36" s="57">
        <v>3</v>
      </c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 spans="1:27" ht="25.5" customHeight="1">
      <c r="A37" s="54">
        <v>32</v>
      </c>
      <c r="B37" s="15" t="s">
        <v>44</v>
      </c>
      <c r="C37" s="55">
        <f>हिन्दी!C41</f>
        <v>55</v>
      </c>
      <c r="D37" s="55" t="str">
        <f>English!C41</f>
        <v>AB</v>
      </c>
      <c r="E37" s="55">
        <f>Maths!C41</f>
        <v>30</v>
      </c>
      <c r="F37" s="55">
        <f>Science!C41</f>
        <v>19</v>
      </c>
      <c r="G37" s="55">
        <f>S.St.!C41</f>
        <v>25</v>
      </c>
      <c r="H37" s="55">
        <f>संस्कृत!C41</f>
        <v>22</v>
      </c>
      <c r="I37" s="55">
        <f>AI!C40</f>
        <v>26</v>
      </c>
      <c r="J37" s="55">
        <f t="shared" si="0"/>
        <v>151</v>
      </c>
      <c r="K37" s="56">
        <f t="shared" si="1"/>
        <v>62.916666666666664</v>
      </c>
      <c r="L37" s="57"/>
      <c r="M37" s="57">
        <v>0</v>
      </c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 spans="1:27" ht="25.5" customHeight="1">
      <c r="A38" s="54">
        <v>33</v>
      </c>
      <c r="B38" s="15" t="s">
        <v>45</v>
      </c>
      <c r="C38" s="55">
        <f>हिन्दी!C42</f>
        <v>19</v>
      </c>
      <c r="D38" s="55">
        <f>English!C42</f>
        <v>16</v>
      </c>
      <c r="E38" s="55">
        <f>Maths!C42</f>
        <v>11</v>
      </c>
      <c r="F38" s="55">
        <f>Science!C42</f>
        <v>15</v>
      </c>
      <c r="G38" s="55">
        <f>S.St.!C42</f>
        <v>10</v>
      </c>
      <c r="H38" s="55">
        <f>संस्कृत!C42</f>
        <v>18</v>
      </c>
      <c r="I38" s="55">
        <f>AI!C41</f>
        <v>31</v>
      </c>
      <c r="J38" s="55">
        <f t="shared" si="0"/>
        <v>89</v>
      </c>
      <c r="K38" s="56">
        <f t="shared" si="1"/>
        <v>37.083333333333336</v>
      </c>
      <c r="L38" s="57"/>
      <c r="M38" s="57">
        <v>3</v>
      </c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 spans="1:27" ht="25.5" customHeight="1">
      <c r="A39" s="54">
        <v>34</v>
      </c>
      <c r="B39" s="21" t="s">
        <v>46</v>
      </c>
      <c r="C39" s="55">
        <f>हिन्दी!C43</f>
        <v>42</v>
      </c>
      <c r="D39" s="55">
        <f>English!C43</f>
        <v>25</v>
      </c>
      <c r="E39" s="55">
        <f>Maths!C43</f>
        <v>19</v>
      </c>
      <c r="F39" s="55">
        <f>Science!C43</f>
        <v>19</v>
      </c>
      <c r="G39" s="55">
        <f>S.St.!C43</f>
        <v>19</v>
      </c>
      <c r="H39" s="55">
        <f>संस्कृत!C43</f>
        <v>15</v>
      </c>
      <c r="I39" s="55">
        <f>AI!C42</f>
        <v>14</v>
      </c>
      <c r="J39" s="55">
        <f t="shared" si="0"/>
        <v>139</v>
      </c>
      <c r="K39" s="56">
        <f t="shared" si="1"/>
        <v>57.916666666666671</v>
      </c>
      <c r="L39" s="57"/>
      <c r="M39" s="57">
        <v>0</v>
      </c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 spans="1:27" ht="25.5" customHeight="1">
      <c r="A40" s="54">
        <v>35</v>
      </c>
      <c r="B40" s="15" t="s">
        <v>47</v>
      </c>
      <c r="C40" s="55">
        <f>हिन्दी!C44</f>
        <v>33</v>
      </c>
      <c r="D40" s="55">
        <f>English!C44</f>
        <v>16</v>
      </c>
      <c r="E40" s="55">
        <f>Maths!C44</f>
        <v>14</v>
      </c>
      <c r="F40" s="55">
        <f>Science!C44</f>
        <v>15</v>
      </c>
      <c r="G40" s="55">
        <f>S.St.!C44</f>
        <v>15</v>
      </c>
      <c r="H40" s="55">
        <f>संस्कृत!C44</f>
        <v>16</v>
      </c>
      <c r="I40" s="55">
        <f>AI!C43</f>
        <v>37</v>
      </c>
      <c r="J40" s="55">
        <f t="shared" si="0"/>
        <v>109</v>
      </c>
      <c r="K40" s="56">
        <f t="shared" si="1"/>
        <v>45.416666666666664</v>
      </c>
      <c r="L40" s="57"/>
      <c r="M40" s="57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</row>
    <row r="41" spans="1:27" ht="25.5" customHeight="1">
      <c r="A41" s="54">
        <v>36</v>
      </c>
      <c r="B41" s="15" t="s">
        <v>48</v>
      </c>
      <c r="C41" s="55">
        <f>हिन्दी!C45</f>
        <v>48</v>
      </c>
      <c r="D41" s="55">
        <f>English!C45</f>
        <v>23</v>
      </c>
      <c r="E41" s="55">
        <f>Maths!C45</f>
        <v>22</v>
      </c>
      <c r="F41" s="55">
        <f>Science!C45</f>
        <v>26</v>
      </c>
      <c r="G41" s="55">
        <f>S.St.!C45</f>
        <v>26</v>
      </c>
      <c r="H41" s="55">
        <f>संस्कृत!C45</f>
        <v>18</v>
      </c>
      <c r="I41" s="55">
        <f>AI!C44</f>
        <v>29</v>
      </c>
      <c r="J41" s="55">
        <f t="shared" si="0"/>
        <v>163</v>
      </c>
      <c r="K41" s="56">
        <f t="shared" si="1"/>
        <v>67.916666666666671</v>
      </c>
      <c r="L41" s="57"/>
      <c r="M41" s="57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</row>
    <row r="42" spans="1:27" ht="25.5" customHeight="1">
      <c r="A42" s="54">
        <v>37</v>
      </c>
      <c r="B42" s="15" t="s">
        <v>49</v>
      </c>
      <c r="C42" s="55">
        <f>हिन्दी!C46</f>
        <v>37</v>
      </c>
      <c r="D42" s="55">
        <f>English!C46</f>
        <v>26</v>
      </c>
      <c r="E42" s="55">
        <f>Maths!C46</f>
        <v>12</v>
      </c>
      <c r="F42" s="55">
        <f>Science!C46</f>
        <v>13</v>
      </c>
      <c r="G42" s="55">
        <f>S.St.!C46</f>
        <v>9</v>
      </c>
      <c r="H42" s="55">
        <f>संस्कृत!C46</f>
        <v>30</v>
      </c>
      <c r="I42" s="55">
        <f>AI!C45</f>
        <v>35</v>
      </c>
      <c r="J42" s="55">
        <f t="shared" si="0"/>
        <v>127</v>
      </c>
      <c r="K42" s="56">
        <f t="shared" si="1"/>
        <v>52.916666666666664</v>
      </c>
      <c r="L42" s="57"/>
      <c r="M42" s="57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</row>
    <row r="43" spans="1:27" ht="25.5" customHeight="1">
      <c r="A43" s="54">
        <v>38</v>
      </c>
      <c r="B43" s="15" t="s">
        <v>50</v>
      </c>
      <c r="C43" s="55">
        <f>हिन्दी!C47</f>
        <v>21</v>
      </c>
      <c r="D43" s="55">
        <f>English!C47</f>
        <v>11</v>
      </c>
      <c r="E43" s="55" t="str">
        <f>Maths!C47</f>
        <v>AB</v>
      </c>
      <c r="F43" s="55">
        <f>Science!C47</f>
        <v>8</v>
      </c>
      <c r="G43" s="55">
        <f>S.St.!C47</f>
        <v>7</v>
      </c>
      <c r="H43" s="55">
        <f>संस्कृत!C47</f>
        <v>21</v>
      </c>
      <c r="I43" s="55">
        <f>AI!C47</f>
        <v>20</v>
      </c>
      <c r="J43" s="55">
        <f t="shared" si="0"/>
        <v>68</v>
      </c>
      <c r="K43" s="56">
        <f t="shared" si="1"/>
        <v>28.333333333333332</v>
      </c>
      <c r="L43" s="57"/>
      <c r="M43" s="57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</row>
    <row r="44" spans="1:27" ht="25.5" customHeight="1">
      <c r="A44" s="54">
        <v>39</v>
      </c>
      <c r="B44" s="15" t="s">
        <v>51</v>
      </c>
      <c r="C44" s="55">
        <f>हिन्दी!C48</f>
        <v>36</v>
      </c>
      <c r="D44" s="55">
        <f>English!C48</f>
        <v>24</v>
      </c>
      <c r="E44" s="55">
        <f>Maths!C48</f>
        <v>36</v>
      </c>
      <c r="F44" s="55">
        <f>Science!C48</f>
        <v>21</v>
      </c>
      <c r="G44" s="55">
        <f>S.St.!C48</f>
        <v>30</v>
      </c>
      <c r="H44" s="55">
        <f>संस्कृत!C48</f>
        <v>25</v>
      </c>
      <c r="I44" s="55">
        <f>AI!C48</f>
        <v>29</v>
      </c>
      <c r="J44" s="55">
        <f t="shared" si="0"/>
        <v>172</v>
      </c>
      <c r="K44" s="56">
        <f t="shared" si="1"/>
        <v>71.666666666666671</v>
      </c>
      <c r="L44" s="57"/>
      <c r="M44" s="57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1:27" ht="25.5" customHeight="1">
      <c r="A45" s="54">
        <v>40</v>
      </c>
      <c r="B45" s="15" t="s">
        <v>52</v>
      </c>
      <c r="C45" s="55">
        <f>हिन्दी!C49</f>
        <v>30</v>
      </c>
      <c r="D45" s="55">
        <f>English!C49</f>
        <v>17</v>
      </c>
      <c r="E45" s="55">
        <f>Maths!C49</f>
        <v>24</v>
      </c>
      <c r="F45" s="55">
        <f>Science!C49</f>
        <v>10</v>
      </c>
      <c r="G45" s="55">
        <f>S.St.!C49</f>
        <v>18</v>
      </c>
      <c r="H45" s="55">
        <f>संस्कृत!C49</f>
        <v>25</v>
      </c>
      <c r="I45" s="55">
        <f>AI!C49</f>
        <v>32</v>
      </c>
      <c r="J45" s="55">
        <f t="shared" si="0"/>
        <v>124</v>
      </c>
      <c r="K45" s="56">
        <f t="shared" si="1"/>
        <v>51.666666666666671</v>
      </c>
      <c r="L45" s="57"/>
      <c r="M45" s="57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</row>
    <row r="46" spans="1:27" ht="25.5" customHeight="1">
      <c r="A46" s="54">
        <v>41</v>
      </c>
      <c r="B46" s="15" t="s">
        <v>53</v>
      </c>
      <c r="C46" s="55">
        <f>हिन्दी!C50</f>
        <v>27</v>
      </c>
      <c r="D46" s="55">
        <f>English!C50</f>
        <v>20</v>
      </c>
      <c r="E46" s="55">
        <f>Maths!C50</f>
        <v>28</v>
      </c>
      <c r="F46" s="55">
        <f>Science!C50</f>
        <v>16</v>
      </c>
      <c r="G46" s="55">
        <f>S.St.!C50</f>
        <v>15</v>
      </c>
      <c r="H46" s="55">
        <f>संस्कृत!C50</f>
        <v>26</v>
      </c>
      <c r="I46" s="55">
        <f>AI!C50</f>
        <v>24</v>
      </c>
      <c r="J46" s="55">
        <f t="shared" si="0"/>
        <v>132</v>
      </c>
      <c r="K46" s="56">
        <f t="shared" si="1"/>
        <v>55.000000000000007</v>
      </c>
      <c r="L46" s="57"/>
      <c r="M46" s="57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</row>
    <row r="47" spans="1:27" ht="25.5" customHeight="1">
      <c r="A47" s="54">
        <v>42</v>
      </c>
      <c r="B47" s="27" t="s">
        <v>54</v>
      </c>
      <c r="C47" s="55">
        <f>हिन्दी!C51</f>
        <v>38</v>
      </c>
      <c r="D47" s="55">
        <f>English!C51</f>
        <v>12</v>
      </c>
      <c r="E47" s="55">
        <f>Maths!C51</f>
        <v>11</v>
      </c>
      <c r="F47" s="55">
        <f>Science!C51</f>
        <v>8</v>
      </c>
      <c r="G47" s="55">
        <f>S.St.!C51</f>
        <v>16</v>
      </c>
      <c r="H47" s="55">
        <f>संस्कृत!C51</f>
        <v>20</v>
      </c>
      <c r="I47" s="55">
        <f>AI!C51</f>
        <v>23</v>
      </c>
      <c r="J47" s="55">
        <f t="shared" si="0"/>
        <v>105</v>
      </c>
      <c r="K47" s="56">
        <f t="shared" si="1"/>
        <v>43.75</v>
      </c>
      <c r="L47" s="57"/>
      <c r="M47" s="57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</row>
    <row r="48" spans="1:27" ht="15.75" customHeight="1">
      <c r="A48" s="59"/>
      <c r="B48" s="60"/>
      <c r="L48" s="61"/>
      <c r="M48" s="61"/>
    </row>
    <row r="49" spans="1:13" ht="15.75" hidden="1" customHeight="1">
      <c r="A49" s="59"/>
      <c r="B49" s="62"/>
      <c r="C49" s="8"/>
      <c r="D49" s="61"/>
      <c r="E49" s="8"/>
      <c r="F49" s="61"/>
      <c r="G49" s="8"/>
      <c r="H49" s="61"/>
      <c r="I49" s="8"/>
      <c r="J49" s="61"/>
      <c r="K49" s="61"/>
      <c r="L49" s="61"/>
      <c r="M49" s="61"/>
    </row>
    <row r="50" spans="1:13" ht="15.75" hidden="1" customHeight="1">
      <c r="A50" s="59"/>
      <c r="B50" s="62"/>
      <c r="C50" s="8"/>
      <c r="D50" s="61"/>
      <c r="E50" s="8"/>
      <c r="F50" s="61"/>
      <c r="G50" s="8"/>
      <c r="H50" s="61"/>
      <c r="I50" s="8"/>
      <c r="J50" s="61"/>
      <c r="K50" s="61"/>
      <c r="L50" s="61"/>
      <c r="M50" s="61"/>
    </row>
    <row r="51" spans="1:13" ht="15.75" hidden="1" customHeight="1">
      <c r="A51" s="59"/>
      <c r="B51" s="62" t="s">
        <v>102</v>
      </c>
      <c r="C51" s="8"/>
      <c r="D51" s="88" t="s">
        <v>103</v>
      </c>
      <c r="E51" s="81"/>
      <c r="F51" s="81"/>
      <c r="G51" s="8"/>
      <c r="H51" s="61"/>
      <c r="I51" s="88" t="s">
        <v>69</v>
      </c>
      <c r="J51" s="81"/>
      <c r="K51" s="81"/>
      <c r="L51" s="61"/>
      <c r="M51" s="61"/>
    </row>
    <row r="52" spans="1:13" ht="15.75" hidden="1" customHeight="1">
      <c r="A52" s="59"/>
      <c r="B52" s="62"/>
      <c r="C52" s="8"/>
      <c r="D52" s="61"/>
      <c r="E52" s="8"/>
      <c r="F52" s="61"/>
      <c r="G52" s="8"/>
      <c r="H52" s="61"/>
      <c r="I52" s="8"/>
      <c r="J52" s="61"/>
      <c r="K52" s="61"/>
      <c r="L52" s="61"/>
      <c r="M52" s="61"/>
    </row>
    <row r="53" spans="1:13" ht="15.75" hidden="1" customHeight="1">
      <c r="A53" s="59"/>
      <c r="B53" s="62"/>
      <c r="C53" s="8"/>
      <c r="D53" s="61"/>
      <c r="E53" s="8"/>
      <c r="F53" s="61"/>
      <c r="G53" s="8"/>
      <c r="H53" s="61"/>
      <c r="I53" s="8"/>
      <c r="J53" s="61"/>
      <c r="K53" s="61"/>
      <c r="L53" s="61"/>
      <c r="M53" s="61"/>
    </row>
    <row r="54" spans="1:13" ht="15.75" hidden="1" customHeight="1">
      <c r="A54" s="59"/>
      <c r="B54" s="62"/>
      <c r="C54" s="8"/>
      <c r="D54" s="61"/>
      <c r="E54" s="8"/>
      <c r="F54" s="61"/>
      <c r="G54" s="8"/>
      <c r="H54" s="61"/>
      <c r="I54" s="8"/>
      <c r="J54" s="61"/>
      <c r="K54" s="61"/>
      <c r="L54" s="61"/>
      <c r="M54" s="61"/>
    </row>
    <row r="55" spans="1:13" ht="15.75" hidden="1" customHeight="1">
      <c r="A55" s="59"/>
      <c r="B55" s="62"/>
      <c r="C55" s="8"/>
      <c r="D55" s="61"/>
      <c r="E55" s="8"/>
      <c r="F55" s="61"/>
      <c r="G55" s="8"/>
      <c r="H55" s="61"/>
      <c r="I55" s="8"/>
      <c r="J55" s="61"/>
      <c r="K55" s="61"/>
      <c r="L55" s="61"/>
      <c r="M55" s="61"/>
    </row>
    <row r="56" spans="1:13" ht="15.75" customHeight="1">
      <c r="A56" s="59"/>
      <c r="B56" s="62"/>
      <c r="C56" s="8"/>
      <c r="D56" s="61"/>
      <c r="E56" s="8"/>
      <c r="F56" s="61"/>
      <c r="G56" s="8"/>
      <c r="H56" s="61"/>
      <c r="I56" s="8"/>
      <c r="J56" s="61"/>
      <c r="K56" s="61"/>
      <c r="L56" s="61"/>
      <c r="M56" s="61"/>
    </row>
    <row r="57" spans="1:13" ht="15.75" customHeight="1">
      <c r="A57" s="27"/>
      <c r="B57" s="63"/>
      <c r="C57" s="64" t="s">
        <v>104</v>
      </c>
      <c r="D57" s="64" t="s">
        <v>105</v>
      </c>
      <c r="E57" s="64" t="s">
        <v>106</v>
      </c>
      <c r="F57" s="64" t="s">
        <v>107</v>
      </c>
      <c r="G57" s="64" t="s">
        <v>95</v>
      </c>
      <c r="H57" s="64" t="s">
        <v>108</v>
      </c>
      <c r="I57" s="64" t="s">
        <v>97</v>
      </c>
      <c r="J57" s="65"/>
      <c r="K57" s="64" t="s">
        <v>109</v>
      </c>
      <c r="L57" s="61"/>
      <c r="M57" s="61"/>
    </row>
    <row r="58" spans="1:13" ht="15.75" customHeight="1">
      <c r="A58" s="89" t="s">
        <v>110</v>
      </c>
      <c r="B58" s="66" t="s">
        <v>57</v>
      </c>
      <c r="C58" s="14">
        <f t="shared" ref="C58:I58" si="2">COUNTIF(C6:C47,"&gt;=36")</f>
        <v>20</v>
      </c>
      <c r="D58" s="14">
        <f t="shared" si="2"/>
        <v>3</v>
      </c>
      <c r="E58" s="14">
        <f t="shared" si="2"/>
        <v>4</v>
      </c>
      <c r="F58" s="14">
        <f t="shared" si="2"/>
        <v>2</v>
      </c>
      <c r="G58" s="14">
        <f t="shared" si="2"/>
        <v>3</v>
      </c>
      <c r="H58" s="14">
        <f t="shared" si="2"/>
        <v>5</v>
      </c>
      <c r="I58" s="14">
        <f t="shared" si="2"/>
        <v>4</v>
      </c>
      <c r="J58" s="13"/>
      <c r="K58" s="14">
        <f>COUNTIF(K6:K47,"&gt;=90")</f>
        <v>4</v>
      </c>
      <c r="L58" s="61"/>
      <c r="M58" s="61"/>
    </row>
    <row r="59" spans="1:13" ht="15.75" customHeight="1">
      <c r="A59" s="90"/>
      <c r="B59" s="66" t="s">
        <v>59</v>
      </c>
      <c r="C59" s="14">
        <f t="shared" ref="C59:I59" si="3">COUNTIF(C6:C47,"&gt;=30")-C58</f>
        <v>6</v>
      </c>
      <c r="D59" s="14">
        <f t="shared" si="3"/>
        <v>3</v>
      </c>
      <c r="E59" s="14">
        <f t="shared" si="3"/>
        <v>5</v>
      </c>
      <c r="F59" s="14">
        <f t="shared" si="3"/>
        <v>3</v>
      </c>
      <c r="G59" s="14">
        <f t="shared" si="3"/>
        <v>3</v>
      </c>
      <c r="H59" s="14">
        <f t="shared" si="3"/>
        <v>8</v>
      </c>
      <c r="I59" s="14">
        <f t="shared" si="3"/>
        <v>13</v>
      </c>
      <c r="J59" s="13"/>
      <c r="K59" s="14">
        <f>COUNTIF(K6:K47,"&gt;=75")-K58</f>
        <v>2</v>
      </c>
      <c r="L59" s="61"/>
      <c r="M59" s="61"/>
    </row>
    <row r="60" spans="1:13" ht="15.75" customHeight="1">
      <c r="A60" s="90"/>
      <c r="B60" s="66" t="s">
        <v>61</v>
      </c>
      <c r="C60" s="14">
        <f t="shared" ref="C60:I60" si="4">COUNTIF(C6:C47,"&gt;=24")-C59-C58</f>
        <v>2</v>
      </c>
      <c r="D60" s="14">
        <f t="shared" si="4"/>
        <v>11</v>
      </c>
      <c r="E60" s="14">
        <f t="shared" si="4"/>
        <v>7</v>
      </c>
      <c r="F60" s="14">
        <f t="shared" si="4"/>
        <v>6</v>
      </c>
      <c r="G60" s="14">
        <f t="shared" si="4"/>
        <v>7</v>
      </c>
      <c r="H60" s="14">
        <f t="shared" si="4"/>
        <v>11</v>
      </c>
      <c r="I60" s="14">
        <f t="shared" si="4"/>
        <v>16</v>
      </c>
      <c r="J60" s="13"/>
      <c r="K60" s="14">
        <f>COUNTIF(K6:K47,"&gt;=60")-K59-K58</f>
        <v>10</v>
      </c>
      <c r="L60" s="61"/>
      <c r="M60" s="61"/>
    </row>
    <row r="61" spans="1:13" ht="15.75" customHeight="1">
      <c r="A61" s="90"/>
      <c r="B61" s="66" t="s">
        <v>63</v>
      </c>
      <c r="C61" s="14">
        <f t="shared" ref="C61:I61" si="5">COUNTIF(C6:C47,"&gt;=18")-C60-C59-C58</f>
        <v>4</v>
      </c>
      <c r="D61" s="14">
        <f t="shared" si="5"/>
        <v>5</v>
      </c>
      <c r="E61" s="14">
        <f t="shared" si="5"/>
        <v>4</v>
      </c>
      <c r="F61" s="14">
        <f t="shared" si="5"/>
        <v>8</v>
      </c>
      <c r="G61" s="14">
        <f t="shared" si="5"/>
        <v>7</v>
      </c>
      <c r="H61" s="14">
        <f t="shared" si="5"/>
        <v>10</v>
      </c>
      <c r="I61" s="14">
        <f t="shared" si="5"/>
        <v>7</v>
      </c>
      <c r="J61" s="13"/>
      <c r="K61" s="14">
        <f>COUNTIF(K6:K47,"&gt;=45")-K60-K59-K58</f>
        <v>11</v>
      </c>
      <c r="L61" s="61"/>
      <c r="M61" s="61"/>
    </row>
    <row r="62" spans="1:13" ht="15.75" customHeight="1">
      <c r="A62" s="90"/>
      <c r="B62" s="66" t="s">
        <v>65</v>
      </c>
      <c r="C62" s="14">
        <f t="shared" ref="C62:I62" si="6">COUNTIF(C6:C47,"&gt;=13.5")-C61-C60-C59-C58</f>
        <v>2</v>
      </c>
      <c r="D62" s="14">
        <f t="shared" si="6"/>
        <v>5</v>
      </c>
      <c r="E62" s="14">
        <f t="shared" si="6"/>
        <v>6</v>
      </c>
      <c r="F62" s="14">
        <f t="shared" si="6"/>
        <v>6</v>
      </c>
      <c r="G62" s="14">
        <f t="shared" si="6"/>
        <v>7</v>
      </c>
      <c r="H62" s="14">
        <f t="shared" si="6"/>
        <v>4</v>
      </c>
      <c r="I62" s="14">
        <f t="shared" si="6"/>
        <v>2</v>
      </c>
      <c r="J62" s="13"/>
      <c r="K62" s="14">
        <f>COUNTIF(K6:K47,"&gt;=33")-K61-K60-K59-K58</f>
        <v>7</v>
      </c>
      <c r="L62" s="61"/>
      <c r="M62" s="61"/>
    </row>
    <row r="63" spans="1:13" ht="15.75" customHeight="1">
      <c r="A63" s="84"/>
      <c r="B63" s="66" t="s">
        <v>66</v>
      </c>
      <c r="C63" s="14">
        <f>COUNTIF(C6:C47,"&lt;13")</f>
        <v>7</v>
      </c>
      <c r="D63" s="14">
        <f>COUNTIF(D5:D47,"&lt;13")</f>
        <v>13</v>
      </c>
      <c r="E63" s="14">
        <f t="shared" ref="E63:F63" si="7">COUNTIF(E6:E47,"&lt;13")</f>
        <v>14</v>
      </c>
      <c r="F63" s="14">
        <f t="shared" si="7"/>
        <v>15</v>
      </c>
      <c r="G63" s="14">
        <f>COUNTIF(G6:G47,"&lt;13.")</f>
        <v>15</v>
      </c>
      <c r="H63" s="14">
        <f t="shared" ref="H63:I63" si="8">COUNTIF(H6:H47,"&lt;13")</f>
        <v>3</v>
      </c>
      <c r="I63" s="14">
        <f t="shared" si="8"/>
        <v>0</v>
      </c>
      <c r="J63" s="13"/>
      <c r="K63" s="14">
        <f>COUNTIF(K6:K47,"&lt;33")</f>
        <v>8</v>
      </c>
      <c r="L63" s="61"/>
      <c r="M63" s="61"/>
    </row>
    <row r="64" spans="1:13" ht="15.75" customHeight="1">
      <c r="A64" s="8"/>
      <c r="B64" s="67"/>
      <c r="C64" s="68" t="s">
        <v>104</v>
      </c>
      <c r="D64" s="68" t="s">
        <v>105</v>
      </c>
      <c r="E64" s="68" t="s">
        <v>106</v>
      </c>
      <c r="F64" s="68" t="s">
        <v>107</v>
      </c>
      <c r="G64" s="68" t="s">
        <v>95</v>
      </c>
      <c r="H64" s="68" t="s">
        <v>108</v>
      </c>
      <c r="I64" s="68" t="s">
        <v>97</v>
      </c>
      <c r="J64" s="69"/>
      <c r="K64" s="70" t="s">
        <v>109</v>
      </c>
      <c r="L64" s="61"/>
      <c r="M64" s="61"/>
    </row>
    <row r="65" spans="1:13" ht="15.75" customHeight="1">
      <c r="A65" s="8"/>
      <c r="B65" s="60" t="s">
        <v>111</v>
      </c>
      <c r="C65" s="61">
        <v>42</v>
      </c>
      <c r="D65" s="61">
        <v>42</v>
      </c>
      <c r="E65" s="61">
        <v>42</v>
      </c>
      <c r="F65" s="61">
        <v>42</v>
      </c>
      <c r="G65" s="61">
        <v>42</v>
      </c>
      <c r="H65" s="61">
        <v>42</v>
      </c>
      <c r="I65" s="61">
        <v>42</v>
      </c>
      <c r="J65" s="8"/>
      <c r="K65" s="71">
        <f>COUNT(A$6:A$47)</f>
        <v>42</v>
      </c>
      <c r="L65" s="61"/>
      <c r="M65" s="61"/>
    </row>
    <row r="66" spans="1:13" ht="15.75" customHeight="1">
      <c r="A66" s="8"/>
      <c r="B66" s="60" t="s">
        <v>60</v>
      </c>
      <c r="C66" s="61">
        <v>1</v>
      </c>
      <c r="D66" s="61">
        <v>2</v>
      </c>
      <c r="E66" s="61">
        <v>1</v>
      </c>
      <c r="F66" s="61">
        <v>1</v>
      </c>
      <c r="G66" s="61">
        <v>1</v>
      </c>
      <c r="H66" s="61">
        <v>1</v>
      </c>
      <c r="I66" s="61">
        <v>2</v>
      </c>
      <c r="J66" s="8"/>
      <c r="K66" s="61">
        <v>2</v>
      </c>
      <c r="L66" s="61"/>
      <c r="M66" s="61"/>
    </row>
    <row r="67" spans="1:13" ht="15.75" customHeight="1">
      <c r="A67" s="8"/>
      <c r="B67" s="60" t="s">
        <v>112</v>
      </c>
      <c r="C67" s="61">
        <v>41</v>
      </c>
      <c r="D67" s="61">
        <v>40</v>
      </c>
      <c r="E67" s="61">
        <v>41</v>
      </c>
      <c r="F67" s="61">
        <f>COUNT(F6:F47)</f>
        <v>42</v>
      </c>
      <c r="G67" s="61">
        <v>41</v>
      </c>
      <c r="H67" s="61">
        <v>41</v>
      </c>
      <c r="I67" s="61">
        <v>40</v>
      </c>
      <c r="J67" s="8"/>
      <c r="K67" s="61">
        <v>40</v>
      </c>
      <c r="L67" s="61"/>
      <c r="M67" s="61"/>
    </row>
    <row r="68" spans="1:13" ht="15.75" customHeight="1">
      <c r="A68" s="8"/>
      <c r="B68" s="60" t="s">
        <v>62</v>
      </c>
      <c r="C68" s="61">
        <f t="shared" ref="C68:I68" si="9">C67-C63</f>
        <v>34</v>
      </c>
      <c r="D68" s="61">
        <f t="shared" si="9"/>
        <v>27</v>
      </c>
      <c r="E68" s="61">
        <f t="shared" si="9"/>
        <v>27</v>
      </c>
      <c r="F68" s="61">
        <f t="shared" si="9"/>
        <v>27</v>
      </c>
      <c r="G68" s="61">
        <f t="shared" si="9"/>
        <v>26</v>
      </c>
      <c r="H68" s="61">
        <f t="shared" si="9"/>
        <v>38</v>
      </c>
      <c r="I68" s="61">
        <f t="shared" si="9"/>
        <v>40</v>
      </c>
      <c r="J68" s="8"/>
      <c r="K68" s="61">
        <f>COUNTIF(K6:K47,1)</f>
        <v>0</v>
      </c>
      <c r="L68" s="61"/>
      <c r="M68" s="61"/>
    </row>
    <row r="69" spans="1:13" ht="15.75" customHeight="1">
      <c r="A69" s="8"/>
      <c r="B69" s="60" t="s">
        <v>64</v>
      </c>
      <c r="C69" s="43">
        <f t="shared" ref="C69:I69" si="10">ROUND((C68/C67)*100,2)</f>
        <v>82.93</v>
      </c>
      <c r="D69" s="43">
        <f t="shared" si="10"/>
        <v>67.5</v>
      </c>
      <c r="E69" s="43">
        <f t="shared" si="10"/>
        <v>65.849999999999994</v>
      </c>
      <c r="F69" s="43">
        <f t="shared" si="10"/>
        <v>64.290000000000006</v>
      </c>
      <c r="G69" s="43">
        <f t="shared" si="10"/>
        <v>63.41</v>
      </c>
      <c r="H69" s="43">
        <f t="shared" si="10"/>
        <v>92.68</v>
      </c>
      <c r="I69" s="43">
        <f t="shared" si="10"/>
        <v>100</v>
      </c>
      <c r="J69" s="61"/>
      <c r="K69" s="61">
        <f>ROUND((K68/35*100),0)</f>
        <v>0</v>
      </c>
      <c r="L69" s="61"/>
      <c r="M69" s="61"/>
    </row>
    <row r="70" spans="1:13" ht="15.75" customHeight="1">
      <c r="A70" s="8"/>
      <c r="B70" s="67"/>
      <c r="C70" s="72" t="s">
        <v>104</v>
      </c>
      <c r="D70" s="72" t="s">
        <v>105</v>
      </c>
      <c r="E70" s="72" t="s">
        <v>106</v>
      </c>
      <c r="F70" s="72" t="s">
        <v>107</v>
      </c>
      <c r="G70" s="72" t="s">
        <v>95</v>
      </c>
      <c r="H70" s="72" t="s">
        <v>108</v>
      </c>
      <c r="I70" s="72" t="s">
        <v>97</v>
      </c>
      <c r="J70" s="73"/>
      <c r="K70" s="74" t="s">
        <v>109</v>
      </c>
      <c r="L70" s="61"/>
      <c r="M70" s="61"/>
    </row>
    <row r="71" spans="1:13" ht="15.75" customHeight="1">
      <c r="A71" s="91" t="s">
        <v>113</v>
      </c>
      <c r="B71" s="63" t="s">
        <v>114</v>
      </c>
      <c r="C71" s="14">
        <f t="shared" ref="C71:I71" si="11">COUNTIF(C14:C54,"&lt;13")</f>
        <v>7</v>
      </c>
      <c r="D71" s="14">
        <f t="shared" si="11"/>
        <v>11</v>
      </c>
      <c r="E71" s="14">
        <f t="shared" si="11"/>
        <v>12</v>
      </c>
      <c r="F71" s="14">
        <f t="shared" si="11"/>
        <v>13</v>
      </c>
      <c r="G71" s="14">
        <f t="shared" si="11"/>
        <v>13</v>
      </c>
      <c r="H71" s="14">
        <f t="shared" si="11"/>
        <v>3</v>
      </c>
      <c r="I71" s="14">
        <f t="shared" si="11"/>
        <v>0</v>
      </c>
      <c r="J71" s="27"/>
      <c r="K71" s="14">
        <f>COUNTIF(K$6:K$47,"&lt;33")</f>
        <v>8</v>
      </c>
      <c r="L71" s="61"/>
      <c r="M71" s="61"/>
    </row>
    <row r="72" spans="1:13" ht="15.75" customHeight="1">
      <c r="A72" s="92"/>
      <c r="B72" s="63" t="s">
        <v>115</v>
      </c>
      <c r="C72" s="14">
        <f t="shared" ref="C72:I72" si="12">COUNTIF(C$6:C$47,"&lt;16")-C71</f>
        <v>2</v>
      </c>
      <c r="D72" s="14">
        <f t="shared" si="12"/>
        <v>4</v>
      </c>
      <c r="E72" s="14">
        <f t="shared" si="12"/>
        <v>8</v>
      </c>
      <c r="F72" s="14">
        <f t="shared" si="12"/>
        <v>6</v>
      </c>
      <c r="G72" s="14">
        <f t="shared" si="12"/>
        <v>6</v>
      </c>
      <c r="H72" s="14">
        <f t="shared" si="12"/>
        <v>2</v>
      </c>
      <c r="I72" s="14">
        <f t="shared" si="12"/>
        <v>1</v>
      </c>
      <c r="J72" s="27"/>
      <c r="K72" s="14">
        <f>COUNTIF(K$6:K$47,"&lt;40")-K71</f>
        <v>5</v>
      </c>
      <c r="L72" s="61"/>
      <c r="M72" s="61"/>
    </row>
    <row r="73" spans="1:13" ht="15.75" customHeight="1">
      <c r="A73" s="92"/>
      <c r="B73" s="63" t="s">
        <v>116</v>
      </c>
      <c r="C73" s="14">
        <f t="shared" ref="C73:I73" si="13">COUNTIF(C$6:C$47,"&lt;20")-C72-C71</f>
        <v>2</v>
      </c>
      <c r="D73" s="14">
        <f t="shared" si="13"/>
        <v>4</v>
      </c>
      <c r="E73" s="14">
        <f t="shared" si="13"/>
        <v>3</v>
      </c>
      <c r="F73" s="14">
        <f t="shared" si="13"/>
        <v>9</v>
      </c>
      <c r="G73" s="14">
        <f t="shared" si="13"/>
        <v>6</v>
      </c>
      <c r="H73" s="14">
        <f t="shared" si="13"/>
        <v>6</v>
      </c>
      <c r="I73" s="14">
        <f t="shared" si="13"/>
        <v>2</v>
      </c>
      <c r="J73" s="27"/>
      <c r="K73" s="14">
        <f>COUNTIF(K$6:K$47,"&lt;50")-K72-K71</f>
        <v>5</v>
      </c>
      <c r="L73" s="61"/>
      <c r="M73" s="61"/>
    </row>
    <row r="74" spans="1:13" ht="15.75" customHeight="1">
      <c r="A74" s="92"/>
      <c r="B74" s="63" t="s">
        <v>117</v>
      </c>
      <c r="C74" s="14">
        <f t="shared" ref="C74:I74" si="14">COUNTIF(C$6:C$47,"&lt;24")-C73-C72-C71</f>
        <v>3</v>
      </c>
      <c r="D74" s="14">
        <f t="shared" si="14"/>
        <v>5</v>
      </c>
      <c r="E74" s="14">
        <f t="shared" si="14"/>
        <v>2</v>
      </c>
      <c r="F74" s="14">
        <f t="shared" si="14"/>
        <v>3</v>
      </c>
      <c r="G74" s="14">
        <f t="shared" si="14"/>
        <v>4</v>
      </c>
      <c r="H74" s="14">
        <f t="shared" si="14"/>
        <v>7</v>
      </c>
      <c r="I74" s="14">
        <f t="shared" si="14"/>
        <v>6</v>
      </c>
      <c r="J74" s="27"/>
      <c r="K74" s="14">
        <f>COUNTIF(K$6:K$47,"&lt;60")-K73-K72-K71</f>
        <v>8</v>
      </c>
      <c r="L74" s="61"/>
      <c r="M74" s="61"/>
    </row>
    <row r="75" spans="1:13" ht="15.75" customHeight="1">
      <c r="A75" s="92"/>
      <c r="B75" s="63" t="s">
        <v>118</v>
      </c>
      <c r="C75" s="14">
        <f t="shared" ref="C75:I75" si="15">COUNTIF(C$6:C$47,"&lt;28")-C74-C73-C72-C71</f>
        <v>2</v>
      </c>
      <c r="D75" s="14">
        <f t="shared" si="15"/>
        <v>10</v>
      </c>
      <c r="E75" s="14">
        <f t="shared" si="15"/>
        <v>4</v>
      </c>
      <c r="F75" s="14">
        <f t="shared" si="15"/>
        <v>6</v>
      </c>
      <c r="G75" s="14">
        <f t="shared" si="15"/>
        <v>5</v>
      </c>
      <c r="H75" s="14">
        <f t="shared" si="15"/>
        <v>10</v>
      </c>
      <c r="I75" s="14">
        <f t="shared" si="15"/>
        <v>10</v>
      </c>
      <c r="J75" s="27"/>
      <c r="K75" s="14">
        <f>COUNTIF(K$6:K$47,"&lt;70")-K74-K73-K72-K71</f>
        <v>5</v>
      </c>
      <c r="L75" s="61"/>
      <c r="M75" s="61"/>
    </row>
    <row r="76" spans="1:13" ht="15.75" customHeight="1">
      <c r="A76" s="92"/>
      <c r="B76" s="63" t="s">
        <v>119</v>
      </c>
      <c r="C76" s="14">
        <f t="shared" ref="C76:I76" si="16">COUNTIF(C$6:C$47,"&lt;32")-C75-C74-C73-C72-C71</f>
        <v>3</v>
      </c>
      <c r="D76" s="14">
        <f t="shared" si="16"/>
        <v>2</v>
      </c>
      <c r="E76" s="14">
        <f t="shared" si="16"/>
        <v>8</v>
      </c>
      <c r="F76" s="14">
        <f t="shared" si="16"/>
        <v>1</v>
      </c>
      <c r="G76" s="14">
        <f t="shared" si="16"/>
        <v>4</v>
      </c>
      <c r="H76" s="14">
        <f t="shared" si="16"/>
        <v>3</v>
      </c>
      <c r="I76" s="14">
        <f t="shared" si="16"/>
        <v>10</v>
      </c>
      <c r="J76" s="27"/>
      <c r="K76" s="14">
        <f>COUNTIF(K$6:K$47,"&lt;80")-K75-K74-K73-K72-K71</f>
        <v>6</v>
      </c>
      <c r="L76" s="61"/>
      <c r="M76" s="61"/>
    </row>
    <row r="77" spans="1:13" ht="15.75" customHeight="1">
      <c r="A77" s="92"/>
      <c r="B77" s="63" t="s">
        <v>120</v>
      </c>
      <c r="C77" s="14">
        <f t="shared" ref="C77:I77" si="17">COUNTIF(C$6:C$47,"&lt;36")-C76-C75-C74-C73-C72-C71</f>
        <v>3</v>
      </c>
      <c r="D77" s="14">
        <f t="shared" si="17"/>
        <v>2</v>
      </c>
      <c r="E77" s="14">
        <f t="shared" si="17"/>
        <v>0</v>
      </c>
      <c r="F77" s="14">
        <f t="shared" si="17"/>
        <v>2</v>
      </c>
      <c r="G77" s="14">
        <f t="shared" si="17"/>
        <v>1</v>
      </c>
      <c r="H77" s="14">
        <f t="shared" si="17"/>
        <v>6</v>
      </c>
      <c r="I77" s="14">
        <f t="shared" si="17"/>
        <v>9</v>
      </c>
      <c r="J77" s="27"/>
      <c r="K77" s="14">
        <f>COUNTIF(K$6:K$47,"&lt;90")-K76-K75-K74-K73-K72-K71</f>
        <v>1</v>
      </c>
      <c r="L77" s="61"/>
      <c r="M77" s="61"/>
    </row>
    <row r="78" spans="1:13" ht="15.75" customHeight="1">
      <c r="A78" s="92"/>
      <c r="B78" s="63" t="s">
        <v>121</v>
      </c>
      <c r="C78" s="14">
        <f t="shared" ref="C78:I78" si="18">COUNTIF(C$6:C$47,"&gt;=36")</f>
        <v>20</v>
      </c>
      <c r="D78" s="14">
        <f t="shared" si="18"/>
        <v>3</v>
      </c>
      <c r="E78" s="14">
        <f t="shared" si="18"/>
        <v>4</v>
      </c>
      <c r="F78" s="14">
        <f t="shared" si="18"/>
        <v>2</v>
      </c>
      <c r="G78" s="14">
        <f t="shared" si="18"/>
        <v>3</v>
      </c>
      <c r="H78" s="14">
        <f t="shared" si="18"/>
        <v>5</v>
      </c>
      <c r="I78" s="14">
        <f t="shared" si="18"/>
        <v>4</v>
      </c>
      <c r="J78" s="27"/>
      <c r="K78" s="14">
        <f>COUNTIF(K$6:K$47,"&gt;=90")</f>
        <v>4</v>
      </c>
      <c r="L78" s="61"/>
      <c r="M78" s="61"/>
    </row>
    <row r="79" spans="1:13" ht="15.75" customHeight="1">
      <c r="A79" s="8"/>
      <c r="B79" s="60" t="s">
        <v>98</v>
      </c>
      <c r="C79" s="75">
        <f t="shared" ref="C79:K79" si="19">SUM(C71:C78)</f>
        <v>42</v>
      </c>
      <c r="D79" s="75">
        <f t="shared" si="19"/>
        <v>41</v>
      </c>
      <c r="E79" s="75">
        <f t="shared" si="19"/>
        <v>41</v>
      </c>
      <c r="F79" s="75">
        <f t="shared" si="19"/>
        <v>42</v>
      </c>
      <c r="G79" s="75">
        <f t="shared" si="19"/>
        <v>42</v>
      </c>
      <c r="H79" s="75">
        <f t="shared" si="19"/>
        <v>42</v>
      </c>
      <c r="I79" s="75">
        <f t="shared" si="19"/>
        <v>42</v>
      </c>
      <c r="J79" s="75">
        <f t="shared" si="19"/>
        <v>0</v>
      </c>
      <c r="K79" s="75">
        <f t="shared" si="19"/>
        <v>42</v>
      </c>
      <c r="L79" s="61"/>
      <c r="M79" s="61"/>
    </row>
    <row r="80" spans="1:13" ht="15.75" customHeight="1">
      <c r="B80" s="60"/>
      <c r="K80" s="61"/>
      <c r="L80" s="61"/>
      <c r="M80" s="61"/>
    </row>
    <row r="81" spans="2:13" ht="15.75" customHeight="1">
      <c r="B81" s="60"/>
      <c r="K81" s="61"/>
      <c r="L81" s="61"/>
      <c r="M81" s="61"/>
    </row>
    <row r="82" spans="2:13" ht="15.75" customHeight="1">
      <c r="B82" s="60"/>
      <c r="K82" s="61"/>
      <c r="L82" s="61"/>
      <c r="M82" s="61"/>
    </row>
    <row r="83" spans="2:13" ht="15.75" customHeight="1">
      <c r="B83" s="60"/>
      <c r="K83" s="61"/>
      <c r="L83" s="61"/>
      <c r="M83" s="61"/>
    </row>
    <row r="84" spans="2:13" ht="15.75" customHeight="1">
      <c r="B84" s="60"/>
      <c r="K84" s="61"/>
      <c r="L84" s="61"/>
      <c r="M84" s="61"/>
    </row>
    <row r="85" spans="2:13" ht="15.75" customHeight="1">
      <c r="B85" s="60"/>
      <c r="K85" s="61"/>
      <c r="L85" s="61"/>
      <c r="M85" s="61"/>
    </row>
    <row r="86" spans="2:13" ht="15.75" customHeight="1">
      <c r="B86" s="60"/>
      <c r="K86" s="61"/>
      <c r="L86" s="61"/>
      <c r="M86" s="61"/>
    </row>
    <row r="87" spans="2:13" ht="15.75" customHeight="1">
      <c r="B87" s="60"/>
      <c r="K87" s="61"/>
      <c r="L87" s="61"/>
      <c r="M87" s="61"/>
    </row>
    <row r="88" spans="2:13" ht="15.75" customHeight="1">
      <c r="B88" s="60"/>
      <c r="K88" s="61"/>
      <c r="L88" s="61"/>
      <c r="M88" s="61"/>
    </row>
    <row r="89" spans="2:13" ht="15.75" customHeight="1">
      <c r="B89" s="60"/>
      <c r="K89" s="61"/>
      <c r="L89" s="61"/>
      <c r="M89" s="61"/>
    </row>
    <row r="90" spans="2:13" ht="15.75" customHeight="1">
      <c r="B90" s="60"/>
      <c r="K90" s="61"/>
      <c r="L90" s="61"/>
      <c r="M90" s="61"/>
    </row>
    <row r="91" spans="2:13" ht="15.75" customHeight="1">
      <c r="B91" s="60"/>
      <c r="K91" s="61"/>
      <c r="L91" s="61"/>
      <c r="M91" s="61"/>
    </row>
    <row r="92" spans="2:13" ht="15.75" customHeight="1">
      <c r="B92" s="60"/>
      <c r="K92" s="61"/>
      <c r="L92" s="61"/>
      <c r="M92" s="61"/>
    </row>
    <row r="93" spans="2:13" ht="15.75" customHeight="1">
      <c r="B93" s="60"/>
      <c r="K93" s="61"/>
      <c r="L93" s="61"/>
      <c r="M93" s="61"/>
    </row>
    <row r="94" spans="2:13" ht="15.75" customHeight="1">
      <c r="B94" s="60"/>
      <c r="K94" s="61"/>
      <c r="L94" s="61"/>
      <c r="M94" s="61"/>
    </row>
    <row r="95" spans="2:13" ht="15.75" customHeight="1">
      <c r="B95" s="60"/>
      <c r="K95" s="61"/>
      <c r="L95" s="61"/>
      <c r="M95" s="61"/>
    </row>
    <row r="96" spans="2:13" ht="15.75" customHeight="1">
      <c r="B96" s="60"/>
      <c r="K96" s="61"/>
      <c r="L96" s="61"/>
      <c r="M96" s="61"/>
    </row>
    <row r="97" spans="2:13" ht="15.75" customHeight="1">
      <c r="B97" s="60"/>
      <c r="K97" s="61"/>
      <c r="L97" s="61"/>
      <c r="M97" s="61"/>
    </row>
    <row r="98" spans="2:13" ht="15.75" customHeight="1">
      <c r="B98" s="60"/>
      <c r="K98" s="61"/>
      <c r="L98" s="61"/>
      <c r="M98" s="61"/>
    </row>
    <row r="99" spans="2:13" ht="15.75" customHeight="1">
      <c r="B99" s="60"/>
      <c r="K99" s="61"/>
      <c r="L99" s="61"/>
      <c r="M99" s="61"/>
    </row>
    <row r="100" spans="2:13" ht="15.75" customHeight="1">
      <c r="B100" s="60"/>
      <c r="K100" s="61"/>
      <c r="L100" s="61"/>
      <c r="M100" s="61"/>
    </row>
    <row r="101" spans="2:13" ht="15.75" customHeight="1">
      <c r="B101" s="60"/>
      <c r="K101" s="61"/>
      <c r="L101" s="61"/>
      <c r="M101" s="61"/>
    </row>
    <row r="102" spans="2:13" ht="15.75" customHeight="1">
      <c r="B102" s="60"/>
      <c r="K102" s="61"/>
      <c r="L102" s="61"/>
      <c r="M102" s="61"/>
    </row>
    <row r="103" spans="2:13" ht="15.75" customHeight="1">
      <c r="B103" s="60"/>
      <c r="K103" s="61"/>
      <c r="L103" s="61"/>
      <c r="M103" s="61"/>
    </row>
    <row r="104" spans="2:13" ht="15.75" customHeight="1">
      <c r="B104" s="60"/>
      <c r="K104" s="61"/>
      <c r="L104" s="61"/>
      <c r="M104" s="61"/>
    </row>
    <row r="105" spans="2:13" ht="15.75" customHeight="1">
      <c r="B105" s="60"/>
      <c r="K105" s="61"/>
      <c r="L105" s="61"/>
      <c r="M105" s="61"/>
    </row>
    <row r="106" spans="2:13" ht="15.75" customHeight="1">
      <c r="B106" s="60"/>
      <c r="K106" s="61"/>
      <c r="L106" s="61"/>
      <c r="M106" s="61"/>
    </row>
    <row r="107" spans="2:13" ht="15.75" customHeight="1">
      <c r="B107" s="60"/>
      <c r="K107" s="61"/>
      <c r="L107" s="61"/>
      <c r="M107" s="61"/>
    </row>
    <row r="108" spans="2:13" ht="15.75" customHeight="1">
      <c r="B108" s="60"/>
      <c r="K108" s="61"/>
      <c r="L108" s="61"/>
      <c r="M108" s="61"/>
    </row>
    <row r="109" spans="2:13" ht="15.75" customHeight="1">
      <c r="B109" s="60"/>
      <c r="K109" s="61"/>
      <c r="L109" s="61"/>
      <c r="M109" s="61"/>
    </row>
    <row r="110" spans="2:13" ht="15.75" customHeight="1">
      <c r="B110" s="60"/>
      <c r="K110" s="61"/>
      <c r="L110" s="61"/>
      <c r="M110" s="61"/>
    </row>
    <row r="111" spans="2:13" ht="15.75" customHeight="1">
      <c r="B111" s="60"/>
      <c r="K111" s="61"/>
      <c r="L111" s="61"/>
      <c r="M111" s="61"/>
    </row>
    <row r="112" spans="2:13" ht="15.75" customHeight="1">
      <c r="B112" s="60"/>
      <c r="K112" s="61"/>
      <c r="L112" s="61"/>
      <c r="M112" s="61"/>
    </row>
    <row r="113" spans="2:13" ht="15.75" customHeight="1">
      <c r="B113" s="60"/>
      <c r="K113" s="61"/>
      <c r="L113" s="61"/>
      <c r="M113" s="61"/>
    </row>
    <row r="114" spans="2:13" ht="15.75" customHeight="1">
      <c r="B114" s="60"/>
      <c r="K114" s="61"/>
      <c r="L114" s="61"/>
      <c r="M114" s="61"/>
    </row>
    <row r="115" spans="2:13" ht="15.75" customHeight="1">
      <c r="B115" s="60"/>
      <c r="K115" s="61"/>
      <c r="L115" s="61"/>
      <c r="M115" s="61"/>
    </row>
    <row r="116" spans="2:13" ht="15.75" customHeight="1">
      <c r="B116" s="60"/>
      <c r="K116" s="61"/>
      <c r="L116" s="61"/>
      <c r="M116" s="61"/>
    </row>
    <row r="117" spans="2:13" ht="15.75" customHeight="1">
      <c r="B117" s="60"/>
      <c r="K117" s="61"/>
      <c r="L117" s="61"/>
      <c r="M117" s="61"/>
    </row>
    <row r="118" spans="2:13" ht="15.75" customHeight="1">
      <c r="B118" s="60"/>
      <c r="K118" s="61"/>
      <c r="L118" s="61"/>
      <c r="M118" s="61"/>
    </row>
    <row r="119" spans="2:13" ht="15.75" customHeight="1">
      <c r="B119" s="60"/>
      <c r="K119" s="61"/>
      <c r="L119" s="61"/>
      <c r="M119" s="61"/>
    </row>
    <row r="120" spans="2:13" ht="15.75" customHeight="1">
      <c r="B120" s="60"/>
      <c r="K120" s="61"/>
      <c r="L120" s="61"/>
      <c r="M120" s="61"/>
    </row>
    <row r="121" spans="2:13" ht="15.75" customHeight="1">
      <c r="B121" s="60"/>
      <c r="K121" s="61"/>
      <c r="L121" s="61"/>
      <c r="M121" s="61"/>
    </row>
    <row r="122" spans="2:13" ht="15.75" customHeight="1">
      <c r="B122" s="60"/>
      <c r="K122" s="61"/>
      <c r="L122" s="61"/>
      <c r="M122" s="61"/>
    </row>
    <row r="123" spans="2:13" ht="15.75" customHeight="1">
      <c r="B123" s="60"/>
      <c r="K123" s="61"/>
      <c r="L123" s="61"/>
      <c r="M123" s="61"/>
    </row>
    <row r="124" spans="2:13" ht="15.75" customHeight="1">
      <c r="B124" s="60"/>
      <c r="K124" s="61"/>
      <c r="L124" s="61"/>
      <c r="M124" s="61"/>
    </row>
    <row r="125" spans="2:13" ht="15.75" customHeight="1">
      <c r="B125" s="60"/>
      <c r="K125" s="61"/>
      <c r="L125" s="61"/>
      <c r="M125" s="61"/>
    </row>
    <row r="126" spans="2:13" ht="15.75" customHeight="1">
      <c r="B126" s="60"/>
      <c r="K126" s="61"/>
      <c r="L126" s="61"/>
      <c r="M126" s="61"/>
    </row>
    <row r="127" spans="2:13" ht="15.75" customHeight="1">
      <c r="B127" s="60"/>
      <c r="K127" s="61"/>
      <c r="L127" s="61"/>
      <c r="M127" s="61"/>
    </row>
    <row r="128" spans="2:13" ht="15.75" customHeight="1">
      <c r="B128" s="60"/>
      <c r="K128" s="61"/>
      <c r="L128" s="61"/>
      <c r="M128" s="61"/>
    </row>
    <row r="129" spans="2:13" ht="15.75" customHeight="1">
      <c r="B129" s="60"/>
      <c r="K129" s="61"/>
      <c r="L129" s="61"/>
      <c r="M129" s="61"/>
    </row>
    <row r="130" spans="2:13" ht="15.75" customHeight="1">
      <c r="B130" s="60"/>
      <c r="K130" s="61"/>
      <c r="L130" s="61"/>
      <c r="M130" s="61"/>
    </row>
    <row r="131" spans="2:13" ht="15.75" customHeight="1">
      <c r="B131" s="60"/>
      <c r="K131" s="61"/>
      <c r="L131" s="61"/>
      <c r="M131" s="61"/>
    </row>
    <row r="132" spans="2:13" ht="15.75" customHeight="1">
      <c r="B132" s="60"/>
      <c r="K132" s="61"/>
      <c r="L132" s="61"/>
      <c r="M132" s="61"/>
    </row>
    <row r="133" spans="2:13" ht="15.75" customHeight="1">
      <c r="B133" s="60"/>
      <c r="K133" s="61"/>
      <c r="L133" s="61"/>
      <c r="M133" s="61"/>
    </row>
    <row r="134" spans="2:13" ht="15.75" customHeight="1">
      <c r="B134" s="60"/>
      <c r="K134" s="61"/>
      <c r="L134" s="61"/>
      <c r="M134" s="61"/>
    </row>
    <row r="135" spans="2:13" ht="15.75" customHeight="1">
      <c r="B135" s="60"/>
      <c r="K135" s="61"/>
      <c r="L135" s="61"/>
      <c r="M135" s="61"/>
    </row>
    <row r="136" spans="2:13" ht="15.75" customHeight="1">
      <c r="B136" s="60"/>
      <c r="K136" s="61"/>
      <c r="L136" s="61"/>
      <c r="M136" s="61"/>
    </row>
    <row r="137" spans="2:13" ht="15.75" customHeight="1">
      <c r="B137" s="60"/>
      <c r="K137" s="61"/>
      <c r="L137" s="61"/>
      <c r="M137" s="61"/>
    </row>
    <row r="138" spans="2:13" ht="15.75" customHeight="1">
      <c r="B138" s="60"/>
      <c r="K138" s="61"/>
      <c r="L138" s="61"/>
      <c r="M138" s="61"/>
    </row>
    <row r="139" spans="2:13" ht="15.75" customHeight="1">
      <c r="B139" s="60"/>
      <c r="K139" s="61"/>
      <c r="L139" s="61"/>
      <c r="M139" s="61"/>
    </row>
    <row r="140" spans="2:13" ht="15.75" customHeight="1">
      <c r="B140" s="60"/>
      <c r="K140" s="61"/>
      <c r="L140" s="61"/>
      <c r="M140" s="61"/>
    </row>
    <row r="141" spans="2:13" ht="15.75" customHeight="1">
      <c r="B141" s="60"/>
      <c r="K141" s="61"/>
      <c r="L141" s="61"/>
      <c r="M141" s="61"/>
    </row>
    <row r="142" spans="2:13" ht="15.75" customHeight="1">
      <c r="B142" s="60"/>
      <c r="K142" s="61"/>
      <c r="L142" s="61"/>
      <c r="M142" s="61"/>
    </row>
    <row r="143" spans="2:13" ht="15.75" customHeight="1">
      <c r="B143" s="60"/>
      <c r="K143" s="61"/>
      <c r="L143" s="61"/>
      <c r="M143" s="61"/>
    </row>
    <row r="144" spans="2:13" ht="15.75" customHeight="1">
      <c r="B144" s="60"/>
      <c r="K144" s="61"/>
      <c r="L144" s="61"/>
      <c r="M144" s="61"/>
    </row>
    <row r="145" spans="2:13" ht="15.75" customHeight="1">
      <c r="B145" s="60"/>
      <c r="K145" s="61"/>
      <c r="L145" s="61"/>
      <c r="M145" s="61"/>
    </row>
    <row r="146" spans="2:13" ht="15.75" customHeight="1">
      <c r="B146" s="60"/>
      <c r="K146" s="61"/>
      <c r="L146" s="61"/>
      <c r="M146" s="61"/>
    </row>
    <row r="147" spans="2:13" ht="15.75" customHeight="1">
      <c r="B147" s="60"/>
      <c r="K147" s="61"/>
      <c r="L147" s="61"/>
      <c r="M147" s="61"/>
    </row>
    <row r="148" spans="2:13" ht="15.75" customHeight="1">
      <c r="B148" s="60"/>
      <c r="K148" s="61"/>
      <c r="L148" s="61"/>
      <c r="M148" s="61"/>
    </row>
    <row r="149" spans="2:13" ht="15.75" customHeight="1">
      <c r="B149" s="60"/>
      <c r="K149" s="61"/>
      <c r="L149" s="61"/>
      <c r="M149" s="61"/>
    </row>
    <row r="150" spans="2:13" ht="15.75" customHeight="1">
      <c r="B150" s="60"/>
      <c r="K150" s="61"/>
      <c r="L150" s="61"/>
      <c r="M150" s="61"/>
    </row>
    <row r="151" spans="2:13" ht="15.75" customHeight="1">
      <c r="B151" s="60"/>
      <c r="K151" s="61"/>
      <c r="L151" s="61"/>
      <c r="M151" s="61"/>
    </row>
    <row r="152" spans="2:13" ht="15.75" customHeight="1">
      <c r="B152" s="60"/>
      <c r="K152" s="61"/>
      <c r="L152" s="61"/>
      <c r="M152" s="61"/>
    </row>
    <row r="153" spans="2:13" ht="15.75" customHeight="1">
      <c r="B153" s="60"/>
      <c r="K153" s="61"/>
      <c r="L153" s="61"/>
      <c r="M153" s="61"/>
    </row>
    <row r="154" spans="2:13" ht="15.75" customHeight="1">
      <c r="B154" s="60"/>
      <c r="K154" s="61"/>
      <c r="L154" s="61"/>
      <c r="M154" s="61"/>
    </row>
    <row r="155" spans="2:13" ht="15.75" customHeight="1">
      <c r="B155" s="60"/>
      <c r="K155" s="61"/>
      <c r="L155" s="61"/>
      <c r="M155" s="61"/>
    </row>
    <row r="156" spans="2:13" ht="15.75" customHeight="1">
      <c r="B156" s="60"/>
      <c r="K156" s="61"/>
      <c r="L156" s="61"/>
      <c r="M156" s="61"/>
    </row>
    <row r="157" spans="2:13" ht="15.75" customHeight="1">
      <c r="B157" s="60"/>
      <c r="K157" s="61"/>
      <c r="L157" s="61"/>
      <c r="M157" s="61"/>
    </row>
    <row r="158" spans="2:13" ht="15.75" customHeight="1">
      <c r="B158" s="60"/>
      <c r="K158" s="61"/>
      <c r="L158" s="61"/>
      <c r="M158" s="61"/>
    </row>
    <row r="159" spans="2:13" ht="15.75" customHeight="1">
      <c r="B159" s="60"/>
      <c r="K159" s="61"/>
      <c r="L159" s="61"/>
      <c r="M159" s="61"/>
    </row>
    <row r="160" spans="2:13" ht="15.75" customHeight="1">
      <c r="B160" s="60"/>
      <c r="K160" s="61"/>
      <c r="L160" s="61"/>
      <c r="M160" s="61"/>
    </row>
    <row r="161" spans="2:13" ht="15.75" customHeight="1">
      <c r="B161" s="60"/>
      <c r="K161" s="61"/>
      <c r="L161" s="61"/>
      <c r="M161" s="61"/>
    </row>
    <row r="162" spans="2:13" ht="15.75" customHeight="1">
      <c r="B162" s="60"/>
      <c r="K162" s="61"/>
      <c r="L162" s="61"/>
      <c r="M162" s="61"/>
    </row>
    <row r="163" spans="2:13" ht="15.75" customHeight="1">
      <c r="B163" s="60"/>
      <c r="K163" s="61"/>
      <c r="L163" s="61"/>
      <c r="M163" s="61"/>
    </row>
    <row r="164" spans="2:13" ht="15.75" customHeight="1">
      <c r="B164" s="60"/>
      <c r="K164" s="61"/>
      <c r="L164" s="61"/>
      <c r="M164" s="61"/>
    </row>
    <row r="165" spans="2:13" ht="15.75" customHeight="1">
      <c r="B165" s="60"/>
      <c r="K165" s="61"/>
      <c r="L165" s="61"/>
      <c r="M165" s="61"/>
    </row>
    <row r="166" spans="2:13" ht="15.75" customHeight="1">
      <c r="B166" s="60"/>
      <c r="K166" s="61"/>
      <c r="L166" s="61"/>
      <c r="M166" s="61"/>
    </row>
    <row r="167" spans="2:13" ht="15.75" customHeight="1">
      <c r="B167" s="60"/>
      <c r="K167" s="61"/>
      <c r="L167" s="61"/>
      <c r="M167" s="61"/>
    </row>
    <row r="168" spans="2:13" ht="15.75" customHeight="1">
      <c r="B168" s="60"/>
      <c r="K168" s="61"/>
      <c r="L168" s="61"/>
      <c r="M168" s="61"/>
    </row>
    <row r="169" spans="2:13" ht="15.75" customHeight="1">
      <c r="B169" s="60"/>
      <c r="K169" s="61"/>
      <c r="L169" s="61"/>
      <c r="M169" s="61"/>
    </row>
    <row r="170" spans="2:13" ht="15.75" customHeight="1">
      <c r="B170" s="60"/>
      <c r="K170" s="61"/>
      <c r="L170" s="61"/>
      <c r="M170" s="61"/>
    </row>
    <row r="171" spans="2:13" ht="15.75" customHeight="1">
      <c r="B171" s="60"/>
      <c r="K171" s="61"/>
      <c r="L171" s="61"/>
      <c r="M171" s="61"/>
    </row>
    <row r="172" spans="2:13" ht="15.75" customHeight="1">
      <c r="B172" s="60"/>
      <c r="K172" s="61"/>
      <c r="L172" s="61"/>
      <c r="M172" s="61"/>
    </row>
    <row r="173" spans="2:13" ht="15.75" customHeight="1">
      <c r="B173" s="60"/>
      <c r="K173" s="61"/>
      <c r="L173" s="61"/>
      <c r="M173" s="61"/>
    </row>
    <row r="174" spans="2:13" ht="15.75" customHeight="1">
      <c r="B174" s="60"/>
      <c r="K174" s="61"/>
      <c r="L174" s="61"/>
      <c r="M174" s="61"/>
    </row>
    <row r="175" spans="2:13" ht="15.75" customHeight="1">
      <c r="B175" s="60"/>
      <c r="K175" s="61"/>
      <c r="L175" s="61"/>
      <c r="M175" s="61"/>
    </row>
    <row r="176" spans="2:13" ht="15.75" customHeight="1">
      <c r="B176" s="60"/>
      <c r="K176" s="61"/>
      <c r="L176" s="61"/>
      <c r="M176" s="61"/>
    </row>
    <row r="177" spans="2:13" ht="15.75" customHeight="1">
      <c r="B177" s="60"/>
      <c r="K177" s="61"/>
      <c r="L177" s="61"/>
      <c r="M177" s="61"/>
    </row>
    <row r="178" spans="2:13" ht="15.75" customHeight="1">
      <c r="B178" s="60"/>
      <c r="K178" s="61"/>
      <c r="L178" s="61"/>
      <c r="M178" s="61"/>
    </row>
    <row r="179" spans="2:13" ht="15.75" customHeight="1">
      <c r="B179" s="60"/>
      <c r="K179" s="61"/>
      <c r="L179" s="61"/>
      <c r="M179" s="61"/>
    </row>
    <row r="180" spans="2:13" ht="15.75" customHeight="1">
      <c r="B180" s="60"/>
      <c r="K180" s="61"/>
      <c r="L180" s="61"/>
      <c r="M180" s="61"/>
    </row>
    <row r="181" spans="2:13" ht="15.75" customHeight="1">
      <c r="B181" s="60"/>
      <c r="K181" s="61"/>
      <c r="L181" s="61"/>
      <c r="M181" s="61"/>
    </row>
    <row r="182" spans="2:13" ht="15.75" customHeight="1">
      <c r="B182" s="60"/>
      <c r="K182" s="61"/>
      <c r="L182" s="61"/>
      <c r="M182" s="61"/>
    </row>
    <row r="183" spans="2:13" ht="15.75" customHeight="1">
      <c r="B183" s="60"/>
      <c r="K183" s="61"/>
      <c r="L183" s="61"/>
      <c r="M183" s="61"/>
    </row>
    <row r="184" spans="2:13" ht="15.75" customHeight="1">
      <c r="B184" s="60"/>
      <c r="K184" s="61"/>
      <c r="L184" s="61"/>
      <c r="M184" s="61"/>
    </row>
    <row r="185" spans="2:13" ht="15.75" customHeight="1">
      <c r="B185" s="60"/>
      <c r="K185" s="61"/>
      <c r="L185" s="61"/>
      <c r="M185" s="61"/>
    </row>
    <row r="186" spans="2:13" ht="15.75" customHeight="1">
      <c r="B186" s="60"/>
      <c r="K186" s="61"/>
      <c r="L186" s="61"/>
      <c r="M186" s="61"/>
    </row>
    <row r="187" spans="2:13" ht="15.75" customHeight="1">
      <c r="B187" s="60"/>
      <c r="K187" s="61"/>
      <c r="L187" s="61"/>
      <c r="M187" s="61"/>
    </row>
    <row r="188" spans="2:13" ht="15.75" customHeight="1">
      <c r="B188" s="60"/>
      <c r="K188" s="61"/>
      <c r="L188" s="61"/>
      <c r="M188" s="61"/>
    </row>
    <row r="189" spans="2:13" ht="15.75" customHeight="1">
      <c r="B189" s="60"/>
      <c r="K189" s="61"/>
      <c r="L189" s="61"/>
      <c r="M189" s="61"/>
    </row>
    <row r="190" spans="2:13" ht="15.75" customHeight="1">
      <c r="B190" s="60"/>
      <c r="K190" s="61"/>
      <c r="L190" s="61"/>
      <c r="M190" s="61"/>
    </row>
    <row r="191" spans="2:13" ht="15.75" customHeight="1">
      <c r="B191" s="60"/>
      <c r="K191" s="61"/>
      <c r="L191" s="61"/>
      <c r="M191" s="61"/>
    </row>
    <row r="192" spans="2:13" ht="15.75" customHeight="1">
      <c r="B192" s="60"/>
      <c r="K192" s="61"/>
      <c r="L192" s="61"/>
      <c r="M192" s="61"/>
    </row>
    <row r="193" spans="2:13" ht="15.75" customHeight="1">
      <c r="B193" s="60"/>
      <c r="K193" s="61"/>
      <c r="L193" s="61"/>
      <c r="M193" s="61"/>
    </row>
    <row r="194" spans="2:13" ht="15.75" customHeight="1">
      <c r="B194" s="60"/>
      <c r="K194" s="61"/>
      <c r="L194" s="61"/>
      <c r="M194" s="61"/>
    </row>
    <row r="195" spans="2:13" ht="15.75" customHeight="1">
      <c r="B195" s="60"/>
      <c r="K195" s="61"/>
      <c r="L195" s="61"/>
      <c r="M195" s="61"/>
    </row>
    <row r="196" spans="2:13" ht="15.75" customHeight="1">
      <c r="B196" s="60"/>
      <c r="K196" s="61"/>
      <c r="L196" s="61"/>
      <c r="M196" s="61"/>
    </row>
    <row r="197" spans="2:13" ht="15.75" customHeight="1">
      <c r="B197" s="60"/>
      <c r="K197" s="61"/>
      <c r="L197" s="61"/>
      <c r="M197" s="61"/>
    </row>
    <row r="198" spans="2:13" ht="15.75" customHeight="1">
      <c r="B198" s="60"/>
      <c r="K198" s="61"/>
      <c r="L198" s="61"/>
      <c r="M198" s="61"/>
    </row>
    <row r="199" spans="2:13" ht="15.75" customHeight="1">
      <c r="B199" s="60"/>
      <c r="K199" s="61"/>
      <c r="L199" s="61"/>
      <c r="M199" s="61"/>
    </row>
    <row r="200" spans="2:13" ht="15.75" customHeight="1">
      <c r="B200" s="60"/>
      <c r="K200" s="61"/>
      <c r="L200" s="61"/>
      <c r="M200" s="61"/>
    </row>
    <row r="201" spans="2:13" ht="15.75" customHeight="1">
      <c r="B201" s="60"/>
      <c r="K201" s="61"/>
      <c r="L201" s="61"/>
      <c r="M201" s="61"/>
    </row>
    <row r="202" spans="2:13" ht="15.75" customHeight="1">
      <c r="B202" s="60"/>
      <c r="K202" s="61"/>
      <c r="L202" s="61"/>
      <c r="M202" s="61"/>
    </row>
    <row r="203" spans="2:13" ht="15.75" customHeight="1">
      <c r="B203" s="60"/>
      <c r="K203" s="61"/>
      <c r="L203" s="61"/>
      <c r="M203" s="61"/>
    </row>
    <row r="204" spans="2:13" ht="15.75" customHeight="1">
      <c r="B204" s="60"/>
      <c r="K204" s="61"/>
      <c r="L204" s="61"/>
      <c r="M204" s="61"/>
    </row>
    <row r="205" spans="2:13" ht="15.75" customHeight="1">
      <c r="B205" s="60"/>
      <c r="K205" s="61"/>
      <c r="L205" s="61"/>
      <c r="M205" s="61"/>
    </row>
    <row r="206" spans="2:13" ht="15.75" customHeight="1">
      <c r="B206" s="60"/>
      <c r="K206" s="61"/>
      <c r="L206" s="61"/>
      <c r="M206" s="61"/>
    </row>
    <row r="207" spans="2:13" ht="15.75" customHeight="1">
      <c r="B207" s="60"/>
      <c r="K207" s="61"/>
      <c r="L207" s="61"/>
      <c r="M207" s="61"/>
    </row>
    <row r="208" spans="2:13" ht="15.75" customHeight="1">
      <c r="B208" s="60"/>
      <c r="K208" s="61"/>
      <c r="L208" s="61"/>
      <c r="M208" s="61"/>
    </row>
    <row r="209" spans="2:13" ht="15.75" customHeight="1">
      <c r="B209" s="60"/>
      <c r="K209" s="61"/>
      <c r="L209" s="61"/>
      <c r="M209" s="61"/>
    </row>
    <row r="210" spans="2:13" ht="15.75" customHeight="1">
      <c r="B210" s="60"/>
      <c r="K210" s="61"/>
      <c r="L210" s="61"/>
      <c r="M210" s="61"/>
    </row>
    <row r="211" spans="2:13" ht="15.75" customHeight="1">
      <c r="B211" s="60"/>
      <c r="K211" s="61"/>
      <c r="L211" s="61"/>
      <c r="M211" s="61"/>
    </row>
    <row r="212" spans="2:13" ht="15.75" customHeight="1">
      <c r="B212" s="60"/>
      <c r="K212" s="61"/>
      <c r="L212" s="61"/>
      <c r="M212" s="61"/>
    </row>
    <row r="213" spans="2:13" ht="15.75" customHeight="1">
      <c r="B213" s="60"/>
      <c r="K213" s="61"/>
      <c r="L213" s="61"/>
      <c r="M213" s="61"/>
    </row>
    <row r="214" spans="2:13" ht="15.75" customHeight="1">
      <c r="B214" s="60"/>
      <c r="K214" s="61"/>
      <c r="L214" s="61"/>
      <c r="M214" s="61"/>
    </row>
    <row r="215" spans="2:13" ht="15.75" customHeight="1">
      <c r="B215" s="60"/>
      <c r="K215" s="61"/>
      <c r="L215" s="61"/>
      <c r="M215" s="61"/>
    </row>
    <row r="216" spans="2:13" ht="15.75" customHeight="1">
      <c r="B216" s="60"/>
      <c r="K216" s="61"/>
      <c r="L216" s="61"/>
      <c r="M216" s="61"/>
    </row>
    <row r="217" spans="2:13" ht="15.75" customHeight="1">
      <c r="B217" s="60"/>
      <c r="K217" s="61"/>
      <c r="L217" s="61"/>
      <c r="M217" s="61"/>
    </row>
    <row r="218" spans="2:13" ht="15.75" customHeight="1">
      <c r="B218" s="60"/>
      <c r="K218" s="61"/>
      <c r="L218" s="61"/>
      <c r="M218" s="61"/>
    </row>
    <row r="219" spans="2:13" ht="15.75" customHeight="1">
      <c r="B219" s="60"/>
      <c r="K219" s="61"/>
      <c r="L219" s="61"/>
      <c r="M219" s="61"/>
    </row>
    <row r="220" spans="2:13" ht="15.75" customHeight="1">
      <c r="B220" s="60"/>
      <c r="K220" s="61"/>
      <c r="L220" s="61"/>
      <c r="M220" s="61"/>
    </row>
    <row r="221" spans="2:13" ht="15.75" customHeight="1">
      <c r="B221" s="60"/>
      <c r="K221" s="61"/>
      <c r="L221" s="61"/>
      <c r="M221" s="61"/>
    </row>
    <row r="222" spans="2:13" ht="15.75" customHeight="1">
      <c r="B222" s="60"/>
      <c r="K222" s="61"/>
      <c r="L222" s="61"/>
      <c r="M222" s="61"/>
    </row>
    <row r="223" spans="2:13" ht="15.75" customHeight="1">
      <c r="B223" s="60"/>
      <c r="K223" s="61"/>
      <c r="L223" s="61"/>
      <c r="M223" s="61"/>
    </row>
    <row r="224" spans="2:13" ht="15.75" customHeight="1">
      <c r="B224" s="60"/>
      <c r="K224" s="61"/>
      <c r="L224" s="61"/>
      <c r="M224" s="61"/>
    </row>
    <row r="225" spans="2:13" ht="15.75" customHeight="1">
      <c r="B225" s="60"/>
      <c r="K225" s="61"/>
      <c r="L225" s="61"/>
      <c r="M225" s="61"/>
    </row>
    <row r="226" spans="2:13" ht="15.75" customHeight="1">
      <c r="B226" s="60"/>
      <c r="K226" s="61"/>
      <c r="L226" s="61"/>
      <c r="M226" s="61"/>
    </row>
    <row r="227" spans="2:13" ht="15.75" customHeight="1">
      <c r="B227" s="60"/>
      <c r="K227" s="61"/>
      <c r="L227" s="61"/>
      <c r="M227" s="61"/>
    </row>
    <row r="228" spans="2:13" ht="15.75" customHeight="1">
      <c r="B228" s="60"/>
      <c r="K228" s="61"/>
      <c r="L228" s="61"/>
      <c r="M228" s="61"/>
    </row>
    <row r="229" spans="2:13" ht="15.75" customHeight="1">
      <c r="B229" s="60"/>
      <c r="K229" s="61"/>
      <c r="L229" s="61"/>
      <c r="M229" s="61"/>
    </row>
    <row r="230" spans="2:13" ht="15.75" customHeight="1">
      <c r="B230" s="60"/>
      <c r="K230" s="61"/>
      <c r="L230" s="61"/>
      <c r="M230" s="61"/>
    </row>
    <row r="231" spans="2:13" ht="15.75" customHeight="1">
      <c r="B231" s="60"/>
      <c r="K231" s="61"/>
      <c r="L231" s="61"/>
      <c r="M231" s="61"/>
    </row>
    <row r="232" spans="2:13" ht="15.75" customHeight="1">
      <c r="B232" s="60"/>
      <c r="K232" s="61"/>
      <c r="L232" s="61"/>
      <c r="M232" s="61"/>
    </row>
    <row r="233" spans="2:13" ht="15.75" customHeight="1">
      <c r="B233" s="60"/>
      <c r="K233" s="61"/>
      <c r="L233" s="61"/>
      <c r="M233" s="61"/>
    </row>
    <row r="234" spans="2:13" ht="15.75" customHeight="1">
      <c r="B234" s="60"/>
      <c r="K234" s="61"/>
      <c r="L234" s="61"/>
      <c r="M234" s="61"/>
    </row>
    <row r="235" spans="2:13" ht="15.75" customHeight="1">
      <c r="B235" s="60"/>
      <c r="K235" s="61"/>
      <c r="L235" s="61"/>
      <c r="M235" s="61"/>
    </row>
    <row r="236" spans="2:13" ht="15.75" customHeight="1">
      <c r="B236" s="60"/>
      <c r="K236" s="61"/>
      <c r="L236" s="61"/>
      <c r="M236" s="61"/>
    </row>
    <row r="237" spans="2:13" ht="15.75" customHeight="1">
      <c r="B237" s="60"/>
      <c r="K237" s="61"/>
      <c r="L237" s="61"/>
      <c r="M237" s="61"/>
    </row>
    <row r="238" spans="2:13" ht="15.75" customHeight="1">
      <c r="B238" s="60"/>
      <c r="K238" s="61"/>
      <c r="L238" s="61"/>
      <c r="M238" s="61"/>
    </row>
    <row r="239" spans="2:13" ht="15.75" customHeight="1">
      <c r="B239" s="60"/>
      <c r="K239" s="61"/>
      <c r="L239" s="61"/>
      <c r="M239" s="61"/>
    </row>
    <row r="240" spans="2:13" ht="15.75" customHeight="1">
      <c r="B240" s="60"/>
      <c r="K240" s="61"/>
      <c r="L240" s="61"/>
      <c r="M240" s="61"/>
    </row>
    <row r="241" spans="2:13" ht="15.75" customHeight="1">
      <c r="B241" s="60"/>
      <c r="K241" s="61"/>
      <c r="L241" s="61"/>
      <c r="M241" s="61"/>
    </row>
    <row r="242" spans="2:13" ht="15.75" customHeight="1">
      <c r="B242" s="60"/>
      <c r="K242" s="61"/>
      <c r="L242" s="61"/>
      <c r="M242" s="61"/>
    </row>
    <row r="243" spans="2:13" ht="15.75" customHeight="1">
      <c r="B243" s="60"/>
      <c r="K243" s="61"/>
      <c r="L243" s="61"/>
      <c r="M243" s="61"/>
    </row>
    <row r="244" spans="2:13" ht="15.75" customHeight="1">
      <c r="B244" s="60"/>
      <c r="K244" s="61"/>
      <c r="L244" s="61"/>
      <c r="M244" s="61"/>
    </row>
    <row r="245" spans="2:13" ht="15.75" customHeight="1">
      <c r="B245" s="60"/>
      <c r="K245" s="61"/>
      <c r="L245" s="61"/>
      <c r="M245" s="61"/>
    </row>
    <row r="246" spans="2:13" ht="15.75" customHeight="1">
      <c r="B246" s="60"/>
      <c r="K246" s="61"/>
      <c r="L246" s="61"/>
      <c r="M246" s="61"/>
    </row>
    <row r="247" spans="2:13" ht="15.75" customHeight="1">
      <c r="B247" s="60"/>
      <c r="K247" s="61"/>
      <c r="L247" s="61"/>
      <c r="M247" s="61"/>
    </row>
    <row r="248" spans="2:13" ht="15.75" customHeight="1">
      <c r="B248" s="60"/>
      <c r="K248" s="61"/>
      <c r="L248" s="61"/>
      <c r="M248" s="61"/>
    </row>
    <row r="249" spans="2:13" ht="15.75" customHeight="1">
      <c r="B249" s="60"/>
      <c r="K249" s="61"/>
      <c r="L249" s="61"/>
      <c r="M249" s="61"/>
    </row>
    <row r="250" spans="2:13" ht="15.75" customHeight="1">
      <c r="B250" s="60"/>
      <c r="K250" s="61"/>
      <c r="L250" s="61"/>
      <c r="M250" s="61"/>
    </row>
    <row r="251" spans="2:13" ht="15.75" customHeight="1">
      <c r="B251" s="60"/>
      <c r="K251" s="61"/>
      <c r="L251" s="61"/>
      <c r="M251" s="61"/>
    </row>
    <row r="252" spans="2:13" ht="15.75" customHeight="1">
      <c r="B252" s="60"/>
      <c r="K252" s="61"/>
      <c r="L252" s="61"/>
      <c r="M252" s="61"/>
    </row>
    <row r="253" spans="2:13" ht="15.75" customHeight="1">
      <c r="B253" s="60"/>
      <c r="K253" s="61"/>
      <c r="L253" s="61"/>
      <c r="M253" s="61"/>
    </row>
    <row r="254" spans="2:13" ht="15.75" customHeight="1">
      <c r="B254" s="60"/>
      <c r="K254" s="61"/>
      <c r="L254" s="61"/>
      <c r="M254" s="61"/>
    </row>
    <row r="255" spans="2:13" ht="15.75" customHeight="1">
      <c r="B255" s="60"/>
      <c r="K255" s="61"/>
      <c r="L255" s="61"/>
      <c r="M255" s="61"/>
    </row>
    <row r="256" spans="2:13" ht="15.75" customHeight="1">
      <c r="B256" s="60"/>
      <c r="K256" s="61"/>
      <c r="L256" s="61"/>
      <c r="M256" s="61"/>
    </row>
    <row r="257" spans="2:13" ht="15.75" customHeight="1">
      <c r="B257" s="60"/>
      <c r="K257" s="61"/>
      <c r="L257" s="61"/>
      <c r="M257" s="61"/>
    </row>
    <row r="258" spans="2:13" ht="15.75" customHeight="1">
      <c r="B258" s="60"/>
      <c r="K258" s="61"/>
      <c r="L258" s="61"/>
      <c r="M258" s="61"/>
    </row>
    <row r="259" spans="2:13" ht="15.75" customHeight="1">
      <c r="B259" s="60"/>
      <c r="K259" s="61"/>
      <c r="L259" s="61"/>
      <c r="M259" s="61"/>
    </row>
    <row r="260" spans="2:13" ht="15.75" customHeight="1">
      <c r="B260" s="60"/>
      <c r="K260" s="61"/>
      <c r="L260" s="61"/>
      <c r="M260" s="61"/>
    </row>
    <row r="261" spans="2:13" ht="15.75" customHeight="1">
      <c r="B261" s="60"/>
      <c r="K261" s="61"/>
      <c r="L261" s="61"/>
      <c r="M261" s="61"/>
    </row>
    <row r="262" spans="2:13" ht="15.75" customHeight="1">
      <c r="B262" s="60"/>
      <c r="K262" s="61"/>
      <c r="L262" s="61"/>
      <c r="M262" s="61"/>
    </row>
    <row r="263" spans="2:13" ht="15.75" customHeight="1">
      <c r="B263" s="60"/>
      <c r="K263" s="61"/>
      <c r="L263" s="61"/>
      <c r="M263" s="61"/>
    </row>
    <row r="264" spans="2:13" ht="15.75" customHeight="1">
      <c r="B264" s="60"/>
      <c r="K264" s="61"/>
      <c r="L264" s="61"/>
      <c r="M264" s="61"/>
    </row>
    <row r="265" spans="2:13" ht="15.75" customHeight="1">
      <c r="B265" s="60"/>
      <c r="K265" s="61"/>
      <c r="L265" s="61"/>
      <c r="M265" s="61"/>
    </row>
    <row r="266" spans="2:13" ht="15.75" customHeight="1">
      <c r="B266" s="60"/>
      <c r="K266" s="61"/>
      <c r="L266" s="61"/>
      <c r="M266" s="61"/>
    </row>
    <row r="267" spans="2:13" ht="15.75" customHeight="1">
      <c r="B267" s="60"/>
      <c r="K267" s="61"/>
      <c r="L267" s="61"/>
      <c r="M267" s="61"/>
    </row>
    <row r="268" spans="2:13" ht="15.75" customHeight="1">
      <c r="B268" s="60"/>
      <c r="K268" s="61"/>
      <c r="L268" s="61"/>
      <c r="M268" s="61"/>
    </row>
    <row r="269" spans="2:13" ht="15.75" customHeight="1">
      <c r="B269" s="60"/>
      <c r="K269" s="61"/>
      <c r="L269" s="61"/>
      <c r="M269" s="61"/>
    </row>
    <row r="270" spans="2:13" ht="15.75" customHeight="1">
      <c r="B270" s="60"/>
      <c r="K270" s="61"/>
      <c r="L270" s="61"/>
      <c r="M270" s="61"/>
    </row>
    <row r="271" spans="2:13" ht="15.75" customHeight="1">
      <c r="B271" s="60"/>
      <c r="K271" s="61"/>
      <c r="L271" s="61"/>
      <c r="M271" s="61"/>
    </row>
    <row r="272" spans="2:13" ht="15.75" customHeight="1">
      <c r="B272" s="60"/>
      <c r="K272" s="61"/>
      <c r="L272" s="61"/>
      <c r="M272" s="61"/>
    </row>
    <row r="273" spans="2:13" ht="15.75" customHeight="1">
      <c r="B273" s="60"/>
      <c r="K273" s="61"/>
      <c r="L273" s="61"/>
      <c r="M273" s="61"/>
    </row>
    <row r="274" spans="2:13" ht="15.75" customHeight="1">
      <c r="B274" s="60"/>
      <c r="K274" s="61"/>
      <c r="L274" s="61"/>
      <c r="M274" s="61"/>
    </row>
    <row r="275" spans="2:13" ht="15.75" customHeight="1">
      <c r="B275" s="60"/>
      <c r="K275" s="61"/>
      <c r="L275" s="61"/>
      <c r="M275" s="61"/>
    </row>
    <row r="276" spans="2:13" ht="15.75" customHeight="1">
      <c r="B276" s="60"/>
      <c r="K276" s="61"/>
      <c r="L276" s="61"/>
      <c r="M276" s="61"/>
    </row>
    <row r="277" spans="2:13" ht="15.75" customHeight="1">
      <c r="B277" s="60"/>
      <c r="K277" s="61"/>
      <c r="L277" s="61"/>
      <c r="M277" s="61"/>
    </row>
    <row r="278" spans="2:13" ht="15.75" customHeight="1">
      <c r="B278" s="60"/>
      <c r="K278" s="61"/>
      <c r="L278" s="61"/>
      <c r="M278" s="61"/>
    </row>
    <row r="279" spans="2:13" ht="15.75" customHeight="1">
      <c r="B279" s="60"/>
      <c r="K279" s="61"/>
      <c r="L279" s="61"/>
      <c r="M279" s="61"/>
    </row>
    <row r="280" spans="2:13" ht="15.75" customHeight="1"/>
    <row r="281" spans="2:13" ht="15.75" customHeight="1"/>
    <row r="282" spans="2:13" ht="15.75" customHeight="1"/>
    <row r="283" spans="2:13" ht="15.75" customHeight="1"/>
    <row r="284" spans="2:13" ht="15.75" customHeight="1"/>
    <row r="285" spans="2:13" ht="15.75" customHeight="1"/>
    <row r="286" spans="2:13" ht="15.75" customHeight="1"/>
    <row r="287" spans="2:13" ht="15.75" customHeight="1"/>
    <row r="288" spans="2:13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">
    <mergeCell ref="A58:A63"/>
    <mergeCell ref="A71:A78"/>
    <mergeCell ref="A1:M1"/>
    <mergeCell ref="A2:M2"/>
    <mergeCell ref="A3:D3"/>
    <mergeCell ref="D51:F51"/>
    <mergeCell ref="I51:K51"/>
  </mergeCells>
  <printOptions horizontalCentered="1" gridLines="1"/>
  <pageMargins left="0" right="0" top="0.28589909443725742" bottom="0.30789133247089262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हिन्दी</vt:lpstr>
      <vt:lpstr>English</vt:lpstr>
      <vt:lpstr>Maths</vt:lpstr>
      <vt:lpstr>Science</vt:lpstr>
      <vt:lpstr>S.St.</vt:lpstr>
      <vt:lpstr>संस्कृत</vt:lpstr>
      <vt:lpstr>AI</vt:lpstr>
      <vt:lpstr>Result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KAIM</dc:creator>
  <cp:lastModifiedBy>arpit</cp:lastModifiedBy>
  <dcterms:created xsi:type="dcterms:W3CDTF">2025-08-05T17:19:45Z</dcterms:created>
  <dcterms:modified xsi:type="dcterms:W3CDTF">2026-04-05T12:47:16Z</dcterms:modified>
</cp:coreProperties>
</file>